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HIR\Desktop\Excel Dmart data Analyst\"/>
    </mc:Choice>
  </mc:AlternateContent>
  <xr:revisionPtr revIDLastSave="0" documentId="13_ncr:1_{905ACAE6-0A32-45FC-B1AE-326EB2697A1C}" xr6:coauthVersionLast="47" xr6:coauthVersionMax="47" xr10:uidLastSave="{00000000-0000-0000-0000-000000000000}"/>
  <bookViews>
    <workbookView xWindow="-110" yWindow="-110" windowWidth="19420" windowHeight="10300" firstSheet="10" activeTab="16" xr2:uid="{00000000-000D-0000-FFFF-FFFF00000000}"/>
  </bookViews>
  <sheets>
    <sheet name="Data" sheetId="1" r:id="rId1"/>
    <sheet name="String questions" sheetId="2" r:id="rId2"/>
    <sheet name="Date Functions" sheetId="3" r:id="rId3"/>
    <sheet name="Formula Referencing" sheetId="4" r:id="rId4"/>
    <sheet name="FR-1" sheetId="5" r:id="rId5"/>
    <sheet name="May" sheetId="6" r:id="rId6"/>
    <sheet name="June" sheetId="7" r:id="rId7"/>
    <sheet name="Sheet1" sheetId="19" r:id="rId8"/>
    <sheet name="july " sheetId="8" r:id="rId9"/>
    <sheet name="Multiple reference " sheetId="9" r:id="rId10"/>
    <sheet name=" May1" sheetId="12" r:id="rId11"/>
    <sheet name="June 1" sheetId="13" r:id="rId12"/>
    <sheet name="July 2" sheetId="14" r:id="rId13"/>
    <sheet name=" Consolidation 1" sheetId="18" r:id="rId14"/>
    <sheet name="Name range " sheetId="20" r:id="rId15"/>
    <sheet name="Practise sheet " sheetId="21" r:id="rId16"/>
    <sheet name="Table in excel " sheetId="23" r:id="rId17"/>
  </sheets>
  <definedNames>
    <definedName name="City">'Name range '!$F$3:$F$7</definedName>
    <definedName name="Days">'Name range '!$E$16:$E$22</definedName>
    <definedName name="Designation">'Name range '!$D$3:$D$7</definedName>
    <definedName name="Employee_Name">'Name range '!$C$3:$C$7</definedName>
    <definedName name="Nums">'Name range '!$F$16:$F$22</definedName>
    <definedName name="Salary">'Name range '!$E$3:$E$7</definedName>
    <definedName name="Slicer_Amount">#N/A</definedName>
    <definedName name="Slicer_Date">#N/A</definedName>
    <definedName name="Slicer_Name">#N/A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4:slicerCache r:id="rId21"/>
      </x15:slicerCaches>
    </ext>
    <ext uri="GoogleSheetsCustomDataVersion2">
      <go:sheetsCustomData xmlns:go="http://customooxmlschemas.google.com/" r:id="rId22" roundtripDataChecksum="P1ovXODBf5gtuvJ6zGqfGgKqRznllUNMIRLdKcGw+dg="/>
    </ext>
  </extLst>
</workbook>
</file>

<file path=xl/calcChain.xml><?xml version="1.0" encoding="utf-8"?>
<calcChain xmlns="http://schemas.openxmlformats.org/spreadsheetml/2006/main">
  <c r="J18" i="23" l="1"/>
  <c r="I9" i="21"/>
  <c r="F8" i="21"/>
  <c r="F4" i="21"/>
  <c r="D20" i="20"/>
  <c r="D19" i="20"/>
  <c r="D18" i="20"/>
  <c r="D17" i="20"/>
  <c r="D16" i="20"/>
  <c r="J6" i="9"/>
  <c r="J9" i="9" s="1"/>
  <c r="J7" i="9"/>
  <c r="J8" i="9"/>
  <c r="J10" i="9"/>
  <c r="J13" i="9" s="1"/>
  <c r="J11" i="9"/>
  <c r="J12" i="9"/>
  <c r="J14" i="9"/>
  <c r="J17" i="9" s="1"/>
  <c r="J15" i="9"/>
  <c r="J16" i="9"/>
  <c r="J18" i="9"/>
  <c r="J21" i="9" s="1"/>
  <c r="J19" i="9"/>
  <c r="J20" i="9"/>
  <c r="H3" i="9"/>
  <c r="M7" i="5"/>
  <c r="N7" i="5"/>
  <c r="O7" i="5"/>
  <c r="M8" i="5"/>
  <c r="N8" i="5"/>
  <c r="O8" i="5"/>
  <c r="M9" i="5"/>
  <c r="N9" i="5"/>
  <c r="O9" i="5"/>
  <c r="M10" i="5"/>
  <c r="N10" i="5"/>
  <c r="O10" i="5"/>
  <c r="M11" i="5"/>
  <c r="N11" i="5"/>
  <c r="O11" i="5"/>
  <c r="M12" i="5"/>
  <c r="N12" i="5"/>
  <c r="O12" i="5"/>
  <c r="M13" i="5"/>
  <c r="N13" i="5"/>
  <c r="O13" i="5"/>
  <c r="N6" i="5"/>
  <c r="O6" i="5"/>
  <c r="M6" i="5"/>
  <c r="G6" i="5"/>
  <c r="G7" i="5"/>
  <c r="G8" i="5"/>
  <c r="G9" i="5"/>
  <c r="G10" i="5"/>
  <c r="G11" i="5"/>
  <c r="G12" i="5"/>
  <c r="G5" i="5"/>
  <c r="F6" i="5"/>
  <c r="F7" i="5"/>
  <c r="F8" i="5"/>
  <c r="F9" i="5"/>
  <c r="F10" i="5"/>
  <c r="F11" i="5"/>
  <c r="F12" i="5"/>
  <c r="F5" i="5"/>
  <c r="J3" i="4"/>
  <c r="J4" i="4"/>
  <c r="J5" i="4"/>
  <c r="J6" i="4"/>
  <c r="J7" i="4"/>
  <c r="J2" i="4"/>
  <c r="I3" i="4"/>
  <c r="I4" i="4"/>
  <c r="I5" i="4"/>
  <c r="I6" i="4"/>
  <c r="I7" i="4"/>
  <c r="I2" i="4"/>
  <c r="H3" i="4"/>
  <c r="H4" i="4"/>
  <c r="H5" i="4"/>
  <c r="H6" i="4"/>
  <c r="H7" i="4"/>
  <c r="H2" i="4"/>
  <c r="G3" i="4"/>
  <c r="G4" i="4"/>
  <c r="G5" i="4"/>
  <c r="G6" i="4"/>
  <c r="G7" i="4"/>
  <c r="G2" i="4"/>
  <c r="F3" i="4"/>
  <c r="F4" i="4"/>
  <c r="F5" i="4"/>
  <c r="F6" i="4"/>
  <c r="F7" i="4"/>
  <c r="F2" i="4"/>
  <c r="T3" i="1"/>
  <c r="T4" i="1"/>
  <c r="T5" i="1"/>
  <c r="T6" i="1"/>
  <c r="T7" i="1"/>
  <c r="T8" i="1"/>
  <c r="T9" i="1"/>
  <c r="T2" i="1"/>
  <c r="S3" i="1"/>
  <c r="S4" i="1"/>
  <c r="S5" i="1"/>
  <c r="S6" i="1"/>
  <c r="S7" i="1"/>
  <c r="S8" i="1"/>
  <c r="S9" i="1"/>
  <c r="S2" i="1"/>
  <c r="K13" i="1"/>
  <c r="J14" i="1"/>
  <c r="J13" i="1"/>
  <c r="I14" i="1"/>
  <c r="I13" i="1"/>
  <c r="R3" i="1"/>
  <c r="R4" i="1"/>
  <c r="R5" i="1"/>
  <c r="R6" i="1"/>
  <c r="R7" i="1"/>
  <c r="R8" i="1"/>
  <c r="R9" i="1"/>
  <c r="R2" i="1"/>
  <c r="Q3" i="1"/>
  <c r="Q4" i="1"/>
  <c r="Q5" i="1"/>
  <c r="Q6" i="1"/>
  <c r="Q7" i="1"/>
  <c r="Q8" i="1"/>
  <c r="Q9" i="1"/>
  <c r="Q2" i="1"/>
  <c r="P3" i="1"/>
  <c r="P4" i="1"/>
  <c r="P5" i="1"/>
  <c r="P6" i="1"/>
  <c r="P7" i="1"/>
  <c r="P8" i="1"/>
  <c r="P9" i="1"/>
  <c r="P2" i="1"/>
  <c r="O3" i="1"/>
  <c r="O4" i="1"/>
  <c r="O5" i="1"/>
  <c r="O6" i="1"/>
  <c r="O7" i="1"/>
  <c r="O8" i="1"/>
  <c r="O9" i="1"/>
  <c r="O10" i="1"/>
  <c r="O2" i="1"/>
  <c r="N3" i="1"/>
  <c r="N4" i="1"/>
  <c r="N5" i="1"/>
  <c r="N6" i="1"/>
  <c r="N7" i="1"/>
  <c r="N8" i="1"/>
  <c r="N9" i="1"/>
  <c r="N2" i="1"/>
  <c r="M3" i="1"/>
  <c r="M4" i="1"/>
  <c r="M5" i="1"/>
  <c r="M6" i="1"/>
  <c r="M7" i="1"/>
  <c r="M8" i="1"/>
  <c r="M9" i="1"/>
  <c r="M2" i="1"/>
  <c r="L3" i="1"/>
  <c r="L4" i="1"/>
  <c r="L5" i="1"/>
  <c r="L6" i="1"/>
  <c r="L7" i="1"/>
  <c r="L8" i="1"/>
  <c r="L9" i="1"/>
  <c r="L2" i="1"/>
  <c r="K3" i="1"/>
  <c r="K4" i="1"/>
  <c r="K5" i="1"/>
  <c r="K6" i="1"/>
  <c r="K7" i="1"/>
  <c r="K8" i="1"/>
  <c r="K9" i="1"/>
  <c r="K2" i="1"/>
  <c r="J3" i="1"/>
  <c r="J4" i="1"/>
  <c r="J5" i="1"/>
  <c r="J6" i="1"/>
  <c r="J7" i="1"/>
  <c r="J8" i="1"/>
  <c r="J9" i="1"/>
  <c r="J2" i="1"/>
  <c r="I3" i="1"/>
  <c r="I4" i="1"/>
  <c r="I5" i="1"/>
  <c r="I6" i="1"/>
  <c r="I7" i="1"/>
  <c r="I8" i="1"/>
  <c r="I9" i="1"/>
  <c r="I2" i="1"/>
</calcChain>
</file>

<file path=xl/sharedStrings.xml><?xml version="1.0" encoding="utf-8"?>
<sst xmlns="http://schemas.openxmlformats.org/spreadsheetml/2006/main" count="312" uniqueCount="230">
  <si>
    <t>Today</t>
  </si>
  <si>
    <t>ID</t>
  </si>
  <si>
    <t>Invoice No.</t>
  </si>
  <si>
    <t>len()</t>
  </si>
  <si>
    <t>Full Name</t>
  </si>
  <si>
    <t>Find the number of characters in the employee's full name.</t>
  </si>
  <si>
    <t>Email ID</t>
  </si>
  <si>
    <t>City</t>
  </si>
  <si>
    <t>upper()</t>
  </si>
  <si>
    <t>Convert the department name to uppercase.</t>
  </si>
  <si>
    <t>Department</t>
  </si>
  <si>
    <t>Employee Code</t>
  </si>
  <si>
    <t>lower()</t>
  </si>
  <si>
    <t>Convert email address into lower case</t>
  </si>
  <si>
    <t>EMP101</t>
  </si>
  <si>
    <t>proper()</t>
  </si>
  <si>
    <t>Convert names into proper case.</t>
  </si>
  <si>
    <t>left()</t>
  </si>
  <si>
    <t>Extract the first 3 characters from the Employee Code.</t>
  </si>
  <si>
    <t>right()</t>
  </si>
  <si>
    <t>Rahul Sharma</t>
  </si>
  <si>
    <t>rahul.sharma@gmail.com</t>
  </si>
  <si>
    <t>Product</t>
  </si>
  <si>
    <t>Quantity</t>
  </si>
  <si>
    <t>Price/Unit</t>
  </si>
  <si>
    <t>Discount %</t>
  </si>
  <si>
    <t>Day</t>
  </si>
  <si>
    <t>Gross Amount</t>
  </si>
  <si>
    <t>Discount Amount</t>
  </si>
  <si>
    <t>Net Amount</t>
  </si>
  <si>
    <t>GST</t>
  </si>
  <si>
    <t>Final Amount</t>
  </si>
  <si>
    <t>Month</t>
  </si>
  <si>
    <t>Year</t>
  </si>
  <si>
    <t>INV101</t>
  </si>
  <si>
    <t>Laptop</t>
  </si>
  <si>
    <r>
      <rPr>
        <sz val="14"/>
        <color theme="1"/>
        <rFont val="Calibri"/>
      </rPr>
      <t xml:space="preserve">Extract the last </t>
    </r>
    <r>
      <rPr>
        <b/>
        <sz val="14"/>
        <color theme="1"/>
        <rFont val="Calibri"/>
      </rPr>
      <t>3 digits</t>
    </r>
    <r>
      <rPr>
        <sz val="14"/>
        <color theme="1"/>
        <rFont val="Calibri"/>
      </rPr>
      <t xml:space="preserve"> of the Employee Code.</t>
    </r>
  </si>
  <si>
    <t>Date Function</t>
  </si>
  <si>
    <t>mid()</t>
  </si>
  <si>
    <t>Extract the city code</t>
  </si>
  <si>
    <t>concat()</t>
  </si>
  <si>
    <t>Create a new Employee Description.</t>
  </si>
  <si>
    <t>First day of the current month</t>
  </si>
  <si>
    <t>First day of the previous month</t>
  </si>
  <si>
    <t>textjoin()</t>
  </si>
  <si>
    <t>Rahul Sharma | Mumbai | Data Analytics</t>
  </si>
  <si>
    <t>Last day of the current month</t>
  </si>
  <si>
    <t>Substitute()</t>
  </si>
  <si>
    <t>Last day of the previous month</t>
  </si>
  <si>
    <t>No. of days between</t>
  </si>
  <si>
    <t>Years between</t>
  </si>
  <si>
    <t>INV102</t>
  </si>
  <si>
    <t>Monitor</t>
  </si>
  <si>
    <t>Now</t>
  </si>
  <si>
    <t>Hour</t>
  </si>
  <si>
    <t>Minutes</t>
  </si>
  <si>
    <t>Seconds</t>
  </si>
  <si>
    <t>INV103</t>
  </si>
  <si>
    <t>Keyboard</t>
  </si>
  <si>
    <r>
      <rPr>
        <sz val="14"/>
        <color theme="1"/>
        <rFont val="Calibri"/>
      </rPr>
      <t xml:space="preserve">Replace </t>
    </r>
    <r>
      <rPr>
        <sz val="10"/>
        <color theme="1"/>
        <rFont val="Arial Unicode MS"/>
      </rPr>
      <t>-</t>
    </r>
    <r>
      <rPr>
        <sz val="11"/>
        <color theme="1"/>
        <rFont val="Calibri"/>
      </rPr>
      <t xml:space="preserve"> with </t>
    </r>
    <r>
      <rPr>
        <sz val="10"/>
        <color theme="1"/>
        <rFont val="Arial Unicode MS"/>
      </rPr>
      <t>/</t>
    </r>
    <r>
      <rPr>
        <sz val="11"/>
        <color theme="1"/>
        <rFont val="Calibri"/>
      </rPr>
      <t xml:space="preserve"> in the employee id's</t>
    </r>
  </si>
  <si>
    <t>Weekdays</t>
  </si>
  <si>
    <t>Replaces specific text</t>
  </si>
  <si>
    <t>Weeknum</t>
  </si>
  <si>
    <t>replace()</t>
  </si>
  <si>
    <t>INV104</t>
  </si>
  <si>
    <t>Mouse</t>
  </si>
  <si>
    <t>Replace a specific portion of text based on position- MUM with THA</t>
  </si>
  <si>
    <t>Replaces based on position</t>
  </si>
  <si>
    <t>trim()</t>
  </si>
  <si>
    <t>EDATE</t>
  </si>
  <si>
    <t>INV105</t>
  </si>
  <si>
    <t>find()</t>
  </si>
  <si>
    <t>INV106</t>
  </si>
  <si>
    <r>
      <rPr>
        <sz val="14"/>
        <color theme="1"/>
        <rFont val="Calibri"/>
      </rPr>
      <t xml:space="preserve">find the position of </t>
    </r>
    <r>
      <rPr>
        <sz val="10"/>
        <color theme="1"/>
        <rFont val="Arial Unicode MS"/>
      </rPr>
      <t>@</t>
    </r>
    <r>
      <rPr>
        <sz val="11"/>
        <color theme="1"/>
        <rFont val="Calibri"/>
      </rPr>
      <t xml:space="preserve"> in the email ID</t>
    </r>
  </si>
  <si>
    <t>START DATE</t>
  </si>
  <si>
    <t>search()</t>
  </si>
  <si>
    <t>EOMONTH</t>
  </si>
  <si>
    <t>Mumbai</t>
  </si>
  <si>
    <t>Data Analytics</t>
  </si>
  <si>
    <t>DA-MUM-101</t>
  </si>
  <si>
    <t>EMP102</t>
  </si>
  <si>
    <t>Priya Mehta</t>
  </si>
  <si>
    <t>priya.mehta@gmail.com</t>
  </si>
  <si>
    <t>Pune</t>
  </si>
  <si>
    <t>Human Resources</t>
  </si>
  <si>
    <t>HR-PUN-102</t>
  </si>
  <si>
    <t>EMP103</t>
  </si>
  <si>
    <t>Amit Kulkarni</t>
  </si>
  <si>
    <t>amit.kulkarni@gmail.com</t>
  </si>
  <si>
    <t>Thane</t>
  </si>
  <si>
    <t>Finance</t>
  </si>
  <si>
    <t>FN-THA-103</t>
  </si>
  <si>
    <t>EMP104</t>
  </si>
  <si>
    <t>Sneha Patil</t>
  </si>
  <si>
    <t>sneha.patil@gmail.com</t>
  </si>
  <si>
    <t>Marketing</t>
  </si>
  <si>
    <t>MK-MUM-104</t>
  </si>
  <si>
    <t>EMP105</t>
  </si>
  <si>
    <t>Rohan Desai</t>
  </si>
  <si>
    <t>rohan.desai@gmail.com</t>
  </si>
  <si>
    <t>Nashik</t>
  </si>
  <si>
    <t>DA-NAS-105</t>
  </si>
  <si>
    <t>EMP106</t>
  </si>
  <si>
    <t>Neha Joshi</t>
  </si>
  <si>
    <t>neha.joshi@gmail.com</t>
  </si>
  <si>
    <t>Operations</t>
  </si>
  <si>
    <t>OP-PUN-106</t>
  </si>
  <si>
    <t>EMP107</t>
  </si>
  <si>
    <t>Karan Shah</t>
  </si>
  <si>
    <t>karan.shah@gmail.com</t>
  </si>
  <si>
    <t>FN-THA-107</t>
  </si>
  <si>
    <t>EMP108</t>
  </si>
  <si>
    <t>Anjali Rao</t>
  </si>
  <si>
    <t>anjali.rao@gmail.com</t>
  </si>
  <si>
    <t>HR-MUM-108</t>
  </si>
  <si>
    <t>LEN()</t>
  </si>
  <si>
    <t>Upper()</t>
  </si>
  <si>
    <t>Lower()</t>
  </si>
  <si>
    <t>Mid()</t>
  </si>
  <si>
    <t>Left()</t>
  </si>
  <si>
    <t>Right()</t>
  </si>
  <si>
    <t>Proper()</t>
  </si>
  <si>
    <t xml:space="preserve">   </t>
  </si>
  <si>
    <t>Concat()</t>
  </si>
  <si>
    <t>&amp;</t>
  </si>
  <si>
    <t>Text join</t>
  </si>
  <si>
    <t>AabbbBbbb</t>
  </si>
  <si>
    <t>Find()</t>
  </si>
  <si>
    <t>Search()</t>
  </si>
  <si>
    <t xml:space="preserve">     Good Morning    </t>
  </si>
  <si>
    <t>Trim()</t>
  </si>
  <si>
    <t>Replace()</t>
  </si>
  <si>
    <t>Absolute Reference</t>
  </si>
  <si>
    <t>Relative Reference</t>
  </si>
  <si>
    <t>Mixed Reference</t>
  </si>
  <si>
    <t>Region</t>
  </si>
  <si>
    <t>Price</t>
  </si>
  <si>
    <t>Total Sales</t>
  </si>
  <si>
    <t>Total Sales with GST</t>
  </si>
  <si>
    <t>Discount Rates</t>
  </si>
  <si>
    <t>Arizona</t>
  </si>
  <si>
    <t>Texas</t>
  </si>
  <si>
    <t>Florida</t>
  </si>
  <si>
    <t>Ohio</t>
  </si>
  <si>
    <t>HeadPhones</t>
  </si>
  <si>
    <t>Alabama</t>
  </si>
  <si>
    <t>Nevada</t>
  </si>
  <si>
    <t>Minnesota</t>
  </si>
  <si>
    <t>Mobile</t>
  </si>
  <si>
    <t>Montana</t>
  </si>
  <si>
    <t xml:space="preserve">  </t>
  </si>
  <si>
    <t>sales</t>
  </si>
  <si>
    <t>E</t>
  </si>
  <si>
    <t>W</t>
  </si>
  <si>
    <t>N</t>
  </si>
  <si>
    <t>S</t>
  </si>
  <si>
    <t>String_Date_Formula_Ref</t>
  </si>
  <si>
    <t>Q1</t>
  </si>
  <si>
    <t>Q2</t>
  </si>
  <si>
    <t>Q4</t>
  </si>
  <si>
    <t>Tea</t>
  </si>
  <si>
    <t>Coffee</t>
  </si>
  <si>
    <t>Milk</t>
  </si>
  <si>
    <t>Sum</t>
  </si>
  <si>
    <t>Employee Name</t>
  </si>
  <si>
    <t>Designation</t>
  </si>
  <si>
    <t>Salary</t>
  </si>
  <si>
    <t>Riya</t>
  </si>
  <si>
    <t>Supevisor</t>
  </si>
  <si>
    <t>Nita</t>
  </si>
  <si>
    <t>Manager</t>
  </si>
  <si>
    <t>Priya</t>
  </si>
  <si>
    <t>Assisstant</t>
  </si>
  <si>
    <t>Anjali</t>
  </si>
  <si>
    <t>Accountant</t>
  </si>
  <si>
    <t>Kolkata</t>
  </si>
  <si>
    <t>Aditi</t>
  </si>
  <si>
    <t>Clerk</t>
  </si>
  <si>
    <t>Delhi</t>
  </si>
  <si>
    <t>Functions</t>
  </si>
  <si>
    <t>Named Ranges</t>
  </si>
  <si>
    <t>Text</t>
  </si>
  <si>
    <t>Numbers</t>
  </si>
  <si>
    <t>sum</t>
  </si>
  <si>
    <t>Monday</t>
  </si>
  <si>
    <t>min</t>
  </si>
  <si>
    <t>Tuesday</t>
  </si>
  <si>
    <t>max</t>
  </si>
  <si>
    <t>Wednesday</t>
  </si>
  <si>
    <t>average</t>
  </si>
  <si>
    <t>Thursday</t>
  </si>
  <si>
    <t>count</t>
  </si>
  <si>
    <t>Friday</t>
  </si>
  <si>
    <t>counta</t>
  </si>
  <si>
    <t>Saturday</t>
  </si>
  <si>
    <t>countblank</t>
  </si>
  <si>
    <t>Sunday</t>
  </si>
  <si>
    <t>2/14/2018</t>
  </si>
  <si>
    <t>North</t>
  </si>
  <si>
    <t>John</t>
  </si>
  <si>
    <t>2/15/2018</t>
  </si>
  <si>
    <t>South</t>
  </si>
  <si>
    <t>Robert</t>
  </si>
  <si>
    <t>2/16/2018</t>
  </si>
  <si>
    <t>Northeast</t>
  </si>
  <si>
    <t>Michael</t>
  </si>
  <si>
    <t>2/17/2018</t>
  </si>
  <si>
    <t>East</t>
  </si>
  <si>
    <t>William</t>
  </si>
  <si>
    <t>2/18/2018</t>
  </si>
  <si>
    <t>West</t>
  </si>
  <si>
    <t>David</t>
  </si>
  <si>
    <t>2/19/2018</t>
  </si>
  <si>
    <t>Southeast</t>
  </si>
  <si>
    <t>Richard</t>
  </si>
  <si>
    <t>2/20/2018</t>
  </si>
  <si>
    <t>Joseph</t>
  </si>
  <si>
    <t>2/21/2018</t>
  </si>
  <si>
    <t>Charles</t>
  </si>
  <si>
    <t>2/22/2018</t>
  </si>
  <si>
    <t>Thomas</t>
  </si>
  <si>
    <t>2/23/2018</t>
  </si>
  <si>
    <t>Harry</t>
  </si>
  <si>
    <t>2/24/2018</t>
  </si>
  <si>
    <t>Jacob</t>
  </si>
  <si>
    <t>Amount</t>
  </si>
  <si>
    <t xml:space="preserve">Name </t>
  </si>
  <si>
    <t>Date</t>
  </si>
  <si>
    <t>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</si>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</sst>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sz val="11"/>
      <color theme="1"/>
      <name val="Calibri"/>
      <family val="2"/>
      <scheme val="minor"/>
    </font>
    <font>
      <sz val="11"/>
      <color theme="1"/>
      <name val="Calibri"/>
      <family val="2"/>
      <scheme val="minor"/>
    </font>
    <font>
      <sz val="14"/>
      <color theme="1"/>
      <name val="Calibri"/>
    </font>
    <font>
      <b/>
      <sz val="11"/>
      <color theme="1"/>
      <name val="Calibri"/>
    </font>
    <font>
      <b/>
      <sz val="12"/>
      <color theme="1"/>
      <name val="Calibri"/>
    </font>
    <font>
      <sz val="11"/>
      <color theme="1"/>
      <name val="Calibri"/>
    </font>
    <font>
      <sz val="10"/>
      <color theme="1"/>
      <name val="Arial"/>
    </font>
    <font>
      <sz val="11"/>
      <name val="Calibri"/>
    </font>
    <font>
      <u/>
      <sz val="11"/>
      <color theme="10"/>
      <name val="Calibri"/>
    </font>
    <font>
      <b/>
      <sz val="14"/>
      <color theme="1"/>
      <name val="Calibri"/>
    </font>
    <font>
      <sz val="10"/>
      <color theme="1"/>
      <name val="Arial Unicode MS"/>
    </font>
    <font>
      <b/>
      <sz val="11"/>
      <color theme="1"/>
      <name val="Calibri"/>
      <family val="2"/>
      <scheme val="minor"/>
    </font>
    <font>
      <b/>
      <sz val="14"/>
      <color theme="1"/>
      <name val="Calibri"/>
      <family val="2"/>
      <scheme val="minor"/>
    </font>
    <font>
      <b/>
      <sz val="16"/>
      <color theme="1"/>
      <name val="Calibri"/>
      <family val="2"/>
      <scheme val="minor"/>
    </font>
    <font>
      <b/>
      <sz val="14"/>
      <color rgb="FFFFFFFF"/>
      <name val="Calibri"/>
      <family val="2"/>
      <scheme val="minor"/>
    </font>
    <font>
      <b/>
      <sz val="11"/>
      <color theme="1"/>
      <name val="Arial"/>
      <family val="2"/>
    </font>
    <font>
      <b/>
      <sz val="12"/>
      <color theme="1"/>
      <name val="Calibri"/>
      <family val="2"/>
      <scheme val="minor"/>
    </font>
    <font>
      <sz val="12"/>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A8D08D"/>
        <bgColor indexed="64"/>
      </patternFill>
    </fill>
    <fill>
      <patternFill patternType="solid">
        <fgColor rgb="FFFFFFFF"/>
        <bgColor indexed="64"/>
      </patternFill>
    </fill>
    <fill>
      <patternFill patternType="solid">
        <fgColor rgb="FF00B0F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68">
    <xf numFmtId="0" fontId="0" fillId="0" borderId="0" xfId="0"/>
    <xf numFmtId="0" fontId="3" fillId="0" borderId="1" xfId="0" applyFont="1" applyBorder="1" applyAlignment="1">
      <alignment horizontal="center"/>
    </xf>
    <xf numFmtId="0" fontId="4" fillId="0" borderId="1" xfId="0" applyFont="1" applyBorder="1" applyAlignment="1">
      <alignment horizontal="center" vertical="center" wrapText="1"/>
    </xf>
    <xf numFmtId="0" fontId="3" fillId="0" borderId="1" xfId="0" applyFont="1" applyBorder="1"/>
    <xf numFmtId="0" fontId="5" fillId="2" borderId="2" xfId="0" applyFont="1" applyFill="1" applyBorder="1" applyAlignment="1">
      <alignment horizontal="center" wrapText="1"/>
    </xf>
    <xf numFmtId="0" fontId="6" fillId="0" borderId="1" xfId="0" applyFont="1" applyBorder="1" applyAlignment="1">
      <alignment horizontal="center" vertical="center" wrapText="1"/>
    </xf>
    <xf numFmtId="0" fontId="7" fillId="0" borderId="3" xfId="0" applyFont="1" applyBorder="1" applyAlignment="1">
      <alignment wrapText="1"/>
    </xf>
    <xf numFmtId="0" fontId="5" fillId="2" borderId="4" xfId="0" applyFont="1" applyFill="1" applyBorder="1" applyAlignment="1">
      <alignment horizontal="center" wrapText="1"/>
    </xf>
    <xf numFmtId="0" fontId="7" fillId="0" borderId="5" xfId="0" applyFont="1" applyBorder="1" applyAlignment="1">
      <alignment wrapText="1"/>
    </xf>
    <xf numFmtId="0" fontId="7" fillId="2" borderId="4" xfId="0" applyFont="1" applyFill="1" applyBorder="1" applyAlignment="1">
      <alignment wrapText="1"/>
    </xf>
    <xf numFmtId="3" fontId="6" fillId="0" borderId="1" xfId="0" applyNumberFormat="1" applyFont="1" applyBorder="1" applyAlignment="1">
      <alignment horizontal="center" vertical="center" wrapText="1"/>
    </xf>
    <xf numFmtId="9" fontId="6" fillId="0" borderId="1" xfId="0" applyNumberFormat="1" applyFont="1" applyBorder="1" applyAlignment="1">
      <alignment horizontal="center" vertical="center" wrapText="1"/>
    </xf>
    <xf numFmtId="9" fontId="4" fillId="0" borderId="0" xfId="0" applyNumberFormat="1" applyFont="1" applyAlignment="1">
      <alignment horizontal="center"/>
    </xf>
    <xf numFmtId="0" fontId="7" fillId="0" borderId="6" xfId="0" applyFont="1" applyBorder="1" applyAlignment="1">
      <alignment wrapText="1"/>
    </xf>
    <xf numFmtId="0" fontId="5" fillId="2" borderId="5" xfId="0" applyFont="1" applyFill="1" applyBorder="1" applyAlignment="1">
      <alignment horizontal="center" wrapText="1"/>
    </xf>
    <xf numFmtId="0" fontId="6" fillId="0" borderId="1" xfId="0" applyFont="1" applyBorder="1"/>
    <xf numFmtId="0" fontId="7" fillId="0" borderId="4" xfId="0" applyFont="1" applyBorder="1" applyAlignment="1">
      <alignment wrapText="1"/>
    </xf>
    <xf numFmtId="0" fontId="9" fillId="0" borderId="1" xfId="0" applyFont="1" applyBorder="1" applyAlignment="1">
      <alignment horizontal="center" vertical="center" wrapText="1"/>
    </xf>
    <xf numFmtId="0" fontId="4" fillId="0" borderId="10" xfId="0" applyFont="1" applyBorder="1" applyAlignment="1">
      <alignment horizontal="center" vertical="center" wrapText="1"/>
    </xf>
    <xf numFmtId="0" fontId="0" fillId="0" borderId="10" xfId="0" applyBorder="1"/>
    <xf numFmtId="0" fontId="0" fillId="0" borderId="10" xfId="0" applyBorder="1" applyAlignment="1">
      <alignment horizontal="center"/>
    </xf>
    <xf numFmtId="1" fontId="6" fillId="0" borderId="1" xfId="0" applyNumberFormat="1" applyFont="1" applyBorder="1" applyAlignment="1">
      <alignment horizontal="center" vertical="center" wrapText="1"/>
    </xf>
    <xf numFmtId="0" fontId="2" fillId="0" borderId="0" xfId="0" applyFont="1"/>
    <xf numFmtId="0" fontId="2" fillId="0" borderId="11" xfId="0" applyFont="1" applyBorder="1" applyAlignment="1">
      <alignment wrapText="1"/>
    </xf>
    <xf numFmtId="0" fontId="2" fillId="0" borderId="6" xfId="0" applyFont="1" applyBorder="1" applyAlignment="1">
      <alignment wrapText="1"/>
    </xf>
    <xf numFmtId="0" fontId="2" fillId="0" borderId="12" xfId="0" applyFont="1" applyBorder="1" applyAlignment="1">
      <alignment wrapText="1"/>
    </xf>
    <xf numFmtId="0" fontId="2" fillId="0" borderId="5" xfId="0" applyFont="1" applyBorder="1" applyAlignment="1">
      <alignment horizontal="center" wrapText="1"/>
    </xf>
    <xf numFmtId="0" fontId="2" fillId="0" borderId="5" xfId="0" applyFont="1" applyBorder="1" applyAlignment="1">
      <alignment wrapText="1"/>
    </xf>
    <xf numFmtId="0" fontId="2" fillId="0" borderId="11" xfId="0" applyFont="1" applyBorder="1"/>
    <xf numFmtId="0" fontId="2" fillId="0" borderId="6" xfId="0" applyFont="1" applyBorder="1"/>
    <xf numFmtId="0" fontId="2" fillId="0" borderId="12" xfId="0" applyFont="1" applyBorder="1"/>
    <xf numFmtId="0" fontId="13" fillId="3" borderId="5" xfId="0" applyFont="1" applyFill="1" applyBorder="1" applyAlignment="1">
      <alignment horizontal="center"/>
    </xf>
    <xf numFmtId="0" fontId="14" fillId="4" borderId="5" xfId="0" applyFont="1" applyFill="1" applyBorder="1" applyAlignment="1">
      <alignment horizontal="center"/>
    </xf>
    <xf numFmtId="0" fontId="2" fillId="0" borderId="5" xfId="0" applyFont="1" applyBorder="1" applyAlignment="1">
      <alignment horizontal="center"/>
    </xf>
    <xf numFmtId="0" fontId="2" fillId="0" borderId="5" xfId="0" applyFont="1" applyBorder="1"/>
    <xf numFmtId="9" fontId="14" fillId="4" borderId="5" xfId="0" applyNumberFormat="1" applyFont="1" applyFill="1" applyBorder="1" applyAlignment="1">
      <alignment horizontal="center"/>
    </xf>
    <xf numFmtId="0" fontId="2" fillId="5" borderId="11" xfId="0" applyFont="1" applyFill="1" applyBorder="1"/>
    <xf numFmtId="0" fontId="2" fillId="0" borderId="13" xfId="0" applyFont="1" applyBorder="1"/>
    <xf numFmtId="0" fontId="2" fillId="0" borderId="15" xfId="0" applyFont="1" applyBorder="1"/>
    <xf numFmtId="0" fontId="2" fillId="0" borderId="16" xfId="0" applyFont="1" applyBorder="1"/>
    <xf numFmtId="0" fontId="2" fillId="0" borderId="17" xfId="0" applyFont="1" applyBorder="1"/>
    <xf numFmtId="9" fontId="14" fillId="4" borderId="10" xfId="0" applyNumberFormat="1" applyFont="1" applyFill="1" applyBorder="1" applyAlignment="1">
      <alignment horizontal="center"/>
    </xf>
    <xf numFmtId="0" fontId="2" fillId="0" borderId="10" xfId="0" applyFont="1" applyBorder="1"/>
    <xf numFmtId="0" fontId="12" fillId="0" borderId="0" xfId="0" applyFont="1"/>
    <xf numFmtId="0" fontId="1" fillId="0" borderId="0" xfId="0" applyFont="1"/>
    <xf numFmtId="0" fontId="1" fillId="0" borderId="11" xfId="0" applyFont="1" applyBorder="1"/>
    <xf numFmtId="0" fontId="1" fillId="0" borderId="6" xfId="0" applyFont="1" applyBorder="1"/>
    <xf numFmtId="0" fontId="1" fillId="0" borderId="12" xfId="0" applyFont="1" applyBorder="1"/>
    <xf numFmtId="0" fontId="15" fillId="6" borderId="5" xfId="0" applyFont="1" applyFill="1" applyBorder="1" applyAlignment="1">
      <alignment horizontal="center"/>
    </xf>
    <xf numFmtId="0" fontId="1" fillId="0" borderId="5" xfId="0" applyFont="1" applyBorder="1" applyAlignment="1">
      <alignment horizontal="center"/>
    </xf>
    <xf numFmtId="0" fontId="16" fillId="0" borderId="11" xfId="0" applyFont="1" applyBorder="1" applyAlignment="1">
      <alignment horizontal="center"/>
    </xf>
    <xf numFmtId="0" fontId="1" fillId="0" borderId="11" xfId="0" applyFont="1" applyBorder="1" applyAlignment="1">
      <alignment horizontal="right"/>
    </xf>
    <xf numFmtId="0" fontId="18" fillId="0" borderId="10"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2" fillId="0" borderId="20" xfId="0" applyFont="1" applyBorder="1"/>
    <xf numFmtId="0" fontId="12" fillId="0" borderId="21" xfId="0" applyFont="1" applyBorder="1"/>
    <xf numFmtId="0" fontId="17" fillId="0" borderId="22" xfId="0" applyFont="1" applyBorder="1" applyAlignment="1">
      <alignment horizontal="center"/>
    </xf>
    <xf numFmtId="0" fontId="18" fillId="0" borderId="23" xfId="0" applyFont="1" applyBorder="1" applyAlignment="1">
      <alignment horizontal="center"/>
    </xf>
    <xf numFmtId="0" fontId="17" fillId="0" borderId="24" xfId="0" applyFont="1" applyBorder="1" applyAlignment="1">
      <alignment horizontal="center"/>
    </xf>
    <xf numFmtId="0" fontId="0" fillId="0" borderId="25" xfId="0" applyBorder="1"/>
    <xf numFmtId="0" fontId="5" fillId="2" borderId="7" xfId="0" applyFont="1" applyFill="1" applyBorder="1" applyAlignment="1">
      <alignment horizontal="center" wrapText="1"/>
    </xf>
    <xf numFmtId="0" fontId="8" fillId="0" borderId="8" xfId="0" applyFont="1" applyBorder="1"/>
    <xf numFmtId="0" fontId="8" fillId="0" borderId="9" xfId="0" applyFont="1" applyBorder="1"/>
    <xf numFmtId="0" fontId="14" fillId="4" borderId="10" xfId="0" applyFont="1" applyFill="1" applyBorder="1" applyAlignment="1">
      <alignment horizontal="center"/>
    </xf>
    <xf numFmtId="0" fontId="2" fillId="5" borderId="13" xfId="0" applyFont="1" applyFill="1" applyBorder="1"/>
    <xf numFmtId="0" fontId="2" fillId="5" borderId="14" xfId="0" applyFont="1" applyFill="1" applyBorder="1"/>
    <xf numFmtId="0" fontId="2" fillId="5" borderId="15" xfId="0" applyFont="1" applyFill="1" applyBorder="1"/>
  </cellXfs>
  <cellStyles count="1">
    <cellStyle name="Normal" xfId="0" builtinId="0"/>
  </cellStyles>
  <dxfs count="12">
    <dxf>
      <border diagonalUp="0" diagonalDown="0" outline="0">
        <left/>
        <right/>
        <top style="thin">
          <color indexed="64"/>
        </top>
        <bottom/>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'Table in excel '!$G$7:$I$17</c:f>
              <c:multiLvlStrCache>
                <c:ptCount val="11"/>
                <c:lvl>
                  <c:pt idx="0">
                    <c:v>John</c:v>
                  </c:pt>
                  <c:pt idx="1">
                    <c:v>Robert</c:v>
                  </c:pt>
                  <c:pt idx="2">
                    <c:v>Michael</c:v>
                  </c:pt>
                  <c:pt idx="3">
                    <c:v>William</c:v>
                  </c:pt>
                  <c:pt idx="4">
                    <c:v>David</c:v>
                  </c:pt>
                  <c:pt idx="5">
                    <c:v>Richard</c:v>
                  </c:pt>
                  <c:pt idx="6">
                    <c:v>Joseph</c:v>
                  </c:pt>
                  <c:pt idx="7">
                    <c:v>Charles</c:v>
                  </c:pt>
                  <c:pt idx="8">
                    <c:v>Thomas</c:v>
                  </c:pt>
                  <c:pt idx="9">
                    <c:v>Harry</c:v>
                  </c:pt>
                  <c:pt idx="10">
                    <c:v>Jacob</c:v>
                  </c:pt>
                </c:lvl>
                <c:lvl>
                  <c:pt idx="0">
                    <c:v>North</c:v>
                  </c:pt>
                  <c:pt idx="1">
                    <c:v>South</c:v>
                  </c:pt>
                  <c:pt idx="2">
                    <c:v>Northeast</c:v>
                  </c:pt>
                  <c:pt idx="3">
                    <c:v>East</c:v>
                  </c:pt>
                  <c:pt idx="4">
                    <c:v>West</c:v>
                  </c:pt>
                  <c:pt idx="5">
                    <c:v>Southeast</c:v>
                  </c:pt>
                  <c:pt idx="6">
                    <c:v>West</c:v>
                  </c:pt>
                  <c:pt idx="7">
                    <c:v>East</c:v>
                  </c:pt>
                  <c:pt idx="8">
                    <c:v>North</c:v>
                  </c:pt>
                  <c:pt idx="9">
                    <c:v>South</c:v>
                  </c:pt>
                  <c:pt idx="10">
                    <c:v>West</c:v>
                  </c:pt>
                </c:lvl>
                <c:lvl>
                  <c:pt idx="0">
                    <c:v>2/14/2018</c:v>
                  </c:pt>
                  <c:pt idx="1">
                    <c:v>2/15/2018</c:v>
                  </c:pt>
                  <c:pt idx="2">
                    <c:v>2/16/2018</c:v>
                  </c:pt>
                  <c:pt idx="3">
                    <c:v>2/17/2018</c:v>
                  </c:pt>
                  <c:pt idx="4">
                    <c:v>2/18/2018</c:v>
                  </c:pt>
                  <c:pt idx="5">
                    <c:v>2/19/2018</c:v>
                  </c:pt>
                  <c:pt idx="6">
                    <c:v>2/20/2018</c:v>
                  </c:pt>
                  <c:pt idx="7">
                    <c:v>2/21/2018</c:v>
                  </c:pt>
                  <c:pt idx="8">
                    <c:v>2/22/2018</c:v>
                  </c:pt>
                  <c:pt idx="9">
                    <c:v>2/23/2018</c:v>
                  </c:pt>
                  <c:pt idx="10">
                    <c:v>2/24/2018</c:v>
                  </c:pt>
                </c:lvl>
              </c:multiLvlStrCache>
            </c:multiLvlStrRef>
          </c:cat>
          <c:val>
            <c:numRef>
              <c:f>'Table in excel '!$J$7:$J$17</c:f>
              <c:numCache>
                <c:formatCode>General</c:formatCode>
                <c:ptCount val="11"/>
                <c:pt idx="0">
                  <c:v>500</c:v>
                </c:pt>
                <c:pt idx="1">
                  <c:v>650</c:v>
                </c:pt>
                <c:pt idx="2">
                  <c:v>482</c:v>
                </c:pt>
                <c:pt idx="3">
                  <c:v>541</c:v>
                </c:pt>
                <c:pt idx="4">
                  <c:v>521</c:v>
                </c:pt>
                <c:pt idx="5">
                  <c:v>5425</c:v>
                </c:pt>
                <c:pt idx="6">
                  <c:v>857</c:v>
                </c:pt>
                <c:pt idx="7">
                  <c:v>741</c:v>
                </c:pt>
                <c:pt idx="8">
                  <c:v>987</c:v>
                </c:pt>
                <c:pt idx="9">
                  <c:v>545</c:v>
                </c:pt>
                <c:pt idx="10">
                  <c:v>635</c:v>
                </c:pt>
              </c:numCache>
            </c:numRef>
          </c:val>
          <c:extLst>
            <c:ext xmlns:c16="http://schemas.microsoft.com/office/drawing/2014/chart" uri="{C3380CC4-5D6E-409C-BE32-E72D297353CC}">
              <c16:uniqueId val="{00000000-364C-42FF-A3F7-365F3C55E243}"/>
            </c:ext>
          </c:extLst>
        </c:ser>
        <c:dLbls>
          <c:showLegendKey val="0"/>
          <c:showVal val="0"/>
          <c:showCatName val="0"/>
          <c:showSerName val="0"/>
          <c:showPercent val="0"/>
          <c:showBubbleSize val="0"/>
        </c:dLbls>
        <c:gapWidth val="219"/>
        <c:overlap val="-27"/>
        <c:axId val="762923183"/>
        <c:axId val="762919823"/>
      </c:barChart>
      <c:catAx>
        <c:axId val="76292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19823"/>
        <c:crosses val="autoZero"/>
        <c:auto val="1"/>
        <c:lblAlgn val="ctr"/>
        <c:lblOffset val="100"/>
        <c:noMultiLvlLbl val="0"/>
      </c:catAx>
      <c:valAx>
        <c:axId val="76291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2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11</xdr:col>
      <xdr:colOff>230066</xdr:colOff>
      <xdr:row>3</xdr:row>
      <xdr:rowOff>77177</xdr:rowOff>
    </xdr:from>
    <xdr:to>
      <xdr:col>14</xdr:col>
      <xdr:colOff>467458</xdr:colOff>
      <xdr:row>14</xdr:row>
      <xdr:rowOff>81085</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E6EA2F9B-76A3-CDCC-5820-6D0A5AD7A2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08681" y="634023"/>
              <a:ext cx="2054469" cy="212383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188057</xdr:colOff>
      <xdr:row>3</xdr:row>
      <xdr:rowOff>12701</xdr:rowOff>
    </xdr:from>
    <xdr:to>
      <xdr:col>4</xdr:col>
      <xdr:colOff>188057</xdr:colOff>
      <xdr:row>16</xdr:row>
      <xdr:rowOff>12945</xdr:rowOff>
    </xdr:to>
    <mc:AlternateContent xmlns:mc="http://schemas.openxmlformats.org/markup-compatibility/2006" xmlns:sle15="http://schemas.microsoft.com/office/drawing/2012/slicer">
      <mc:Choice Requires="sle15">
        <xdr:graphicFrame macro="">
          <xdr:nvGraphicFramePr>
            <xdr:cNvPr id="3" name="Date">
              <a:extLst>
                <a:ext uri="{FF2B5EF4-FFF2-40B4-BE49-F238E27FC236}">
                  <a16:creationId xmlns:a16="http://schemas.microsoft.com/office/drawing/2014/main" id="{54AB8F23-5353-87D9-F884-8B0EE0E37CF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93749" y="569547"/>
              <a:ext cx="1817077" cy="251093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112570</xdr:colOff>
      <xdr:row>18</xdr:row>
      <xdr:rowOff>84819</xdr:rowOff>
    </xdr:from>
    <xdr:to>
      <xdr:col>5</xdr:col>
      <xdr:colOff>110963</xdr:colOff>
      <xdr:row>31</xdr:row>
      <xdr:rowOff>159791</xdr:rowOff>
    </xdr:to>
    <mc:AlternateContent xmlns:mc="http://schemas.openxmlformats.org/markup-compatibility/2006" xmlns:sle15="http://schemas.microsoft.com/office/drawing/2012/slicer">
      <mc:Choice Requires="sle15">
        <xdr:graphicFrame macro="">
          <xdr:nvGraphicFramePr>
            <xdr:cNvPr id="4" name="Name ">
              <a:extLst>
                <a:ext uri="{FF2B5EF4-FFF2-40B4-BE49-F238E27FC236}">
                  <a16:creationId xmlns:a16="http://schemas.microsoft.com/office/drawing/2014/main" id="{6A16999D-0EE1-73BF-ED02-69899D906225}"/>
                </a:ext>
              </a:extLst>
            </xdr:cNvPr>
            <xdr:cNvGraphicFramePr/>
          </xdr:nvGraphicFramePr>
          <xdr:xfrm>
            <a:off x="0" y="0"/>
            <a:ext cx="0" cy="0"/>
          </xdr:xfrm>
          <a:graphic>
            <a:graphicData uri="http://schemas.microsoft.com/office/drawing/2010/slicer">
              <sle:slicer xmlns:sle="http://schemas.microsoft.com/office/drawing/2010/slicer" name="Name "/>
            </a:graphicData>
          </a:graphic>
        </xdr:graphicFrame>
      </mc:Choice>
      <mc:Fallback xmlns="">
        <xdr:sp macro="" textlink="">
          <xdr:nvSpPr>
            <xdr:cNvPr id="0" name=""/>
            <xdr:cNvSpPr>
              <a:spLocks noTextEdit="1"/>
            </xdr:cNvSpPr>
          </xdr:nvSpPr>
          <xdr:spPr>
            <a:xfrm>
              <a:off x="1323955" y="3543127"/>
              <a:ext cx="1815470" cy="24879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242766</xdr:colOff>
      <xdr:row>17</xdr:row>
      <xdr:rowOff>175846</xdr:rowOff>
    </xdr:from>
    <xdr:to>
      <xdr:col>14</xdr:col>
      <xdr:colOff>254489</xdr:colOff>
      <xdr:row>31</xdr:row>
      <xdr:rowOff>91586</xdr:rowOff>
    </xdr:to>
    <mc:AlternateContent xmlns:mc="http://schemas.openxmlformats.org/markup-compatibility/2006">
      <mc:Choice xmlns:sle15="http://schemas.microsoft.com/office/drawing/2012/slicer" Requires="sle15">
        <xdr:graphicFrame macro="">
          <xdr:nvGraphicFramePr>
            <xdr:cNvPr id="5" name="Amount">
              <a:extLst>
                <a:ext uri="{FF2B5EF4-FFF2-40B4-BE49-F238E27FC236}">
                  <a16:creationId xmlns:a16="http://schemas.microsoft.com/office/drawing/2014/main" id="{6F6C3F25-01AE-B241-0EE6-389D56287E0F}"/>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dr:sp macro="" textlink="">
          <xdr:nvSpPr>
            <xdr:cNvPr id="0" name=""/>
            <xdr:cNvSpPr>
              <a:spLocks noTextEdit="1"/>
            </xdr:cNvSpPr>
          </xdr:nvSpPr>
          <xdr:spPr>
            <a:xfrm>
              <a:off x="7921381" y="343876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16</xdr:col>
      <xdr:colOff>297961</xdr:colOff>
      <xdr:row>4</xdr:row>
      <xdr:rowOff>152400</xdr:rowOff>
    </xdr:from>
    <xdr:to>
      <xdr:col>25</xdr:col>
      <xdr:colOff>556846</xdr:colOff>
      <xdr:row>23</xdr:row>
      <xdr:rowOff>146539</xdr:rowOff>
    </xdr:to>
    <xdr:graphicFrame macro="">
      <xdr:nvGraphicFramePr>
        <xdr:cNvPr id="7" name="Chart 6">
          <a:extLst>
            <a:ext uri="{FF2B5EF4-FFF2-40B4-BE49-F238E27FC236}">
              <a16:creationId xmlns:a16="http://schemas.microsoft.com/office/drawing/2014/main" id="{F3E6BDB2-DD3B-2FFF-B275-C58B42AD0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441E108-D984-4F40-BBB8-CA6BB953504F}" sourceName="Dat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B25BEBEB-D110-4617-894E-1C9D1D8C5976}" sourceName="Name ">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2E6A48-72CD-4CA1-BD57-DC982E11D91E}" sourceName="Region">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5E29F8D3-7DE8-4C6B-AACB-F4A214064B72}" sourceName="Amoun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8303DDE-4C08-4F2F-BF22-436E266F33DB}" cache="Slicer_Date" caption="Date" style="SlicerStyleLight5" rowHeight="241300"/>
  <slicer name="Name " xr10:uid="{080E6B83-DBAB-44A7-8463-EF94ECBAEA46}" cache="Slicer_Name" caption="Name " style="SlicerStyleDark5" rowHeight="241300"/>
  <slicer name="Region" xr10:uid="{83F41E6A-C201-4F78-B415-10C6AEE2C1C5}" cache="Slicer_Region" caption="Region" style="SlicerStyleDark1" rowHeight="241300"/>
  <slicer name="Amount" xr10:uid="{C612F525-27EB-4EC1-911D-292D03725DC5}" cache="Slicer_Amount" caption="Amou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79FA8-F111-4E99-8920-3EF64412DF35}" name="Practise_table" displayName="Practise_table" ref="G6:J18" totalsRowCount="1" headerRowDxfId="11" headerRowBorderDxfId="10" tableBorderDxfId="9" totalsRowBorderDxfId="8">
  <autoFilter ref="G6:J17" xr:uid="{1EF79FA8-F111-4E99-8920-3EF64412DF35}"/>
  <tableColumns count="4">
    <tableColumn id="1" xr3:uid="{B66A983D-BA05-492E-9092-07E735EA7CAA}" name="Date" totalsRowLabel="Total" dataDxfId="7" totalsRowDxfId="6"/>
    <tableColumn id="2" xr3:uid="{5FAFC843-134F-47C0-B1A0-1500A97358BF}" name="Region" dataDxfId="5" totalsRowDxfId="4"/>
    <tableColumn id="3" xr3:uid="{BF938E5C-F7FA-4329-80BC-031C63EDCA95}" name="Name " dataDxfId="3" totalsRowDxfId="2"/>
    <tableColumn id="5" xr3:uid="{C1FC7AB7-2AAF-40C2-9507-344C48EBB3E2}" name="Amount" totalsRowFunction="max" dataDxfId="1" totalsRowDxfId="0"/>
  </tableColumns>
  <tableStyleInfo name="TableStyleDark6" showFirstColumn="1" showLastColumn="0" showRowStripes="1" showColumn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njali.rao@gmail.com" TargetMode="External"/><Relationship Id="rId3" Type="http://schemas.openxmlformats.org/officeDocument/2006/relationships/hyperlink" Target="mailto:amit.kulkarni@gmail.com" TargetMode="External"/><Relationship Id="rId7" Type="http://schemas.openxmlformats.org/officeDocument/2006/relationships/hyperlink" Target="mailto:karan.shah@gmail.com" TargetMode="External"/><Relationship Id="rId2" Type="http://schemas.openxmlformats.org/officeDocument/2006/relationships/hyperlink" Target="mailto:priya.mehta@gmail.com" TargetMode="External"/><Relationship Id="rId1" Type="http://schemas.openxmlformats.org/officeDocument/2006/relationships/hyperlink" Target="mailto:rahul.sharma@gmail.com" TargetMode="External"/><Relationship Id="rId6" Type="http://schemas.openxmlformats.org/officeDocument/2006/relationships/hyperlink" Target="mailto:neha.joshi@gmail.com" TargetMode="External"/><Relationship Id="rId5" Type="http://schemas.openxmlformats.org/officeDocument/2006/relationships/hyperlink" Target="mailto:rohan.desai@gmail.com" TargetMode="External"/><Relationship Id="rId4" Type="http://schemas.openxmlformats.org/officeDocument/2006/relationships/hyperlink" Target="mailto:sneha.patil@gmail.com" TargetMode="Externa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zoomScale="84" workbookViewId="0">
      <selection activeCell="J19" sqref="J19"/>
    </sheetView>
  </sheetViews>
  <sheetFormatPr defaultColWidth="14.453125" defaultRowHeight="15" customHeight="1"/>
  <cols>
    <col min="1" max="2" width="15.7265625" customWidth="1"/>
    <col min="3" max="3" width="35.08984375" customWidth="1"/>
    <col min="4" max="5" width="15.7265625" customWidth="1"/>
    <col min="6" max="6" width="22.26953125" customWidth="1"/>
    <col min="7" max="9" width="8.7265625" customWidth="1"/>
    <col min="10" max="10" width="14.36328125" bestFit="1" customWidth="1"/>
    <col min="11" max="11" width="20.1796875" customWidth="1"/>
    <col min="12" max="14" width="8.7265625" customWidth="1"/>
    <col min="15" max="15" width="12.36328125" bestFit="1" customWidth="1"/>
    <col min="16" max="16" width="32.6328125" bestFit="1" customWidth="1"/>
    <col min="17" max="17" width="22" customWidth="1"/>
    <col min="18" max="18" width="33.453125" bestFit="1" customWidth="1"/>
    <col min="19" max="19" width="20.81640625" customWidth="1"/>
    <col min="20" max="20" width="11" bestFit="1" customWidth="1"/>
    <col min="21" max="26" width="8.7265625" customWidth="1"/>
  </cols>
  <sheetData>
    <row r="1" spans="1:20" ht="14.25" customHeight="1">
      <c r="A1" s="2" t="s">
        <v>1</v>
      </c>
      <c r="B1" s="2" t="s">
        <v>4</v>
      </c>
      <c r="C1" s="2" t="s">
        <v>6</v>
      </c>
      <c r="D1" s="2" t="s">
        <v>7</v>
      </c>
      <c r="E1" s="2" t="s">
        <v>10</v>
      </c>
      <c r="F1" s="2" t="s">
        <v>11</v>
      </c>
      <c r="I1" s="18" t="s">
        <v>115</v>
      </c>
      <c r="J1" s="18" t="s">
        <v>116</v>
      </c>
      <c r="K1" s="18" t="s">
        <v>117</v>
      </c>
      <c r="L1" s="18" t="s">
        <v>118</v>
      </c>
      <c r="M1" s="18" t="s">
        <v>119</v>
      </c>
      <c r="N1" s="18" t="s">
        <v>120</v>
      </c>
      <c r="O1" s="18" t="s">
        <v>121</v>
      </c>
      <c r="P1" s="18" t="s">
        <v>123</v>
      </c>
      <c r="Q1" s="18" t="s">
        <v>124</v>
      </c>
      <c r="R1" s="18" t="s">
        <v>125</v>
      </c>
      <c r="S1" s="18" t="s">
        <v>47</v>
      </c>
      <c r="T1" s="18" t="s">
        <v>131</v>
      </c>
    </row>
    <row r="2" spans="1:20" ht="14.25" customHeight="1">
      <c r="A2" s="5" t="s">
        <v>14</v>
      </c>
      <c r="B2" s="5" t="s">
        <v>20</v>
      </c>
      <c r="C2" s="17" t="s">
        <v>21</v>
      </c>
      <c r="D2" s="5" t="s">
        <v>77</v>
      </c>
      <c r="E2" s="5" t="s">
        <v>78</v>
      </c>
      <c r="F2" s="5" t="s">
        <v>79</v>
      </c>
      <c r="I2" s="20">
        <f>LEN(B2)</f>
        <v>12</v>
      </c>
      <c r="J2" s="20" t="str">
        <f>UPPER(B2)</f>
        <v>RAHUL SHARMA</v>
      </c>
      <c r="K2" s="20" t="str">
        <f>LOWER(B2:B9)</f>
        <v>rahul sharma</v>
      </c>
      <c r="L2" s="20" t="str">
        <f>MID(F2,4,3)</f>
        <v>MUM</v>
      </c>
      <c r="M2" s="20" t="str">
        <f>LEFT(F2,2)</f>
        <v>DA</v>
      </c>
      <c r="N2" s="20" t="str">
        <f>RIGHT(F2,3)</f>
        <v>101</v>
      </c>
      <c r="O2" s="19" t="str">
        <f>PROPER(K2)</f>
        <v>Rahul Sharma</v>
      </c>
      <c r="P2" s="19" t="str">
        <f>_xlfn.CONCAT(B2,",",E2,"-",D2)</f>
        <v>Rahul Sharma,Data Analytics-Mumbai</v>
      </c>
      <c r="Q2" s="19" t="str">
        <f>B2&amp;" -"&amp;D2</f>
        <v>Rahul Sharma -Mumbai</v>
      </c>
      <c r="R2" s="19" t="str">
        <f>_xlfn.TEXTJOIN("|",TRUE,B2,D2,E2)</f>
        <v>Rahul Sharma|Mumbai|Data Analytics</v>
      </c>
      <c r="S2" s="19" t="str">
        <f>SUBSTITUTE(F2,"-","|")</f>
        <v>DA|MUM|101</v>
      </c>
      <c r="T2" s="19" t="str">
        <f>REPLACE(F2,4,3,"TNA")</f>
        <v>DA-TNA-101</v>
      </c>
    </row>
    <row r="3" spans="1:20" ht="14.25" customHeight="1">
      <c r="A3" s="5" t="s">
        <v>80</v>
      </c>
      <c r="B3" s="5" t="s">
        <v>81</v>
      </c>
      <c r="C3" s="17" t="s">
        <v>82</v>
      </c>
      <c r="D3" s="5" t="s">
        <v>83</v>
      </c>
      <c r="E3" s="5" t="s">
        <v>84</v>
      </c>
      <c r="F3" s="5" t="s">
        <v>85</v>
      </c>
      <c r="I3" s="20">
        <f t="shared" ref="I3:I9" si="0">LEN(B3)</f>
        <v>11</v>
      </c>
      <c r="J3" s="20" t="str">
        <f t="shared" ref="J3:J9" si="1">UPPER(B3)</f>
        <v>PRIYA MEHTA</v>
      </c>
      <c r="K3" s="20" t="str">
        <f t="shared" ref="K3:K9" si="2">LOWER(B3:B10)</f>
        <v>priya mehta</v>
      </c>
      <c r="L3" s="20" t="str">
        <f t="shared" ref="L3:L9" si="3">MID(F3,4,3)</f>
        <v>PUN</v>
      </c>
      <c r="M3" s="20" t="str">
        <f t="shared" ref="M3:M9" si="4">LEFT(F3,2)</f>
        <v>HR</v>
      </c>
      <c r="N3" s="20" t="str">
        <f t="shared" ref="N3:N9" si="5">RIGHT(F3,3)</f>
        <v>102</v>
      </c>
      <c r="O3" s="19" t="str">
        <f t="shared" ref="O3:O10" si="6">PROPER(K3)</f>
        <v>Priya Mehta</v>
      </c>
      <c r="P3" s="19" t="str">
        <f t="shared" ref="P3:P9" si="7">_xlfn.CONCAT(B3,",",E3,"-",D3)</f>
        <v>Priya Mehta,Human Resources-Pune</v>
      </c>
      <c r="Q3" s="19" t="str">
        <f t="shared" ref="Q3:Q9" si="8">B3&amp;" -"&amp;D3</f>
        <v>Priya Mehta -Pune</v>
      </c>
      <c r="R3" s="19" t="str">
        <f t="shared" ref="R3:R9" si="9">_xlfn.TEXTJOIN("|",TRUE,B3,D3,E3)</f>
        <v>Priya Mehta|Pune|Human Resources</v>
      </c>
      <c r="S3" s="19" t="str">
        <f t="shared" ref="S3:S9" si="10">SUBSTITUTE(F3,"-","|")</f>
        <v>HR|PUN|102</v>
      </c>
      <c r="T3" s="19" t="str">
        <f t="shared" ref="T3:T9" si="11">REPLACE(F3,4,3,"TNA")</f>
        <v>HR-TNA-102</v>
      </c>
    </row>
    <row r="4" spans="1:20" ht="14.25" customHeight="1">
      <c r="A4" s="5" t="s">
        <v>86</v>
      </c>
      <c r="B4" s="5" t="s">
        <v>87</v>
      </c>
      <c r="C4" s="17" t="s">
        <v>88</v>
      </c>
      <c r="D4" s="5" t="s">
        <v>89</v>
      </c>
      <c r="E4" s="5" t="s">
        <v>90</v>
      </c>
      <c r="F4" s="5" t="s">
        <v>91</v>
      </c>
      <c r="I4" s="20">
        <f t="shared" si="0"/>
        <v>13</v>
      </c>
      <c r="J4" s="20" t="str">
        <f t="shared" si="1"/>
        <v>AMIT KULKARNI</v>
      </c>
      <c r="K4" s="20" t="str">
        <f t="shared" si="2"/>
        <v>amit kulkarni</v>
      </c>
      <c r="L4" s="20" t="str">
        <f t="shared" si="3"/>
        <v>THA</v>
      </c>
      <c r="M4" s="20" t="str">
        <f t="shared" si="4"/>
        <v>FN</v>
      </c>
      <c r="N4" s="20" t="str">
        <f t="shared" si="5"/>
        <v>103</v>
      </c>
      <c r="O4" s="19" t="str">
        <f t="shared" si="6"/>
        <v>Amit Kulkarni</v>
      </c>
      <c r="P4" s="19" t="str">
        <f t="shared" si="7"/>
        <v>Amit Kulkarni,Finance-Thane</v>
      </c>
      <c r="Q4" s="19" t="str">
        <f t="shared" si="8"/>
        <v>Amit Kulkarni -Thane</v>
      </c>
      <c r="R4" s="19" t="str">
        <f t="shared" si="9"/>
        <v>Amit Kulkarni|Thane|Finance</v>
      </c>
      <c r="S4" s="19" t="str">
        <f t="shared" si="10"/>
        <v>FN|THA|103</v>
      </c>
      <c r="T4" s="19" t="str">
        <f t="shared" si="11"/>
        <v>FN-TNA-103</v>
      </c>
    </row>
    <row r="5" spans="1:20" ht="14.25" customHeight="1">
      <c r="A5" s="5" t="s">
        <v>92</v>
      </c>
      <c r="B5" s="5" t="s">
        <v>93</v>
      </c>
      <c r="C5" s="17" t="s">
        <v>94</v>
      </c>
      <c r="D5" s="5" t="s">
        <v>77</v>
      </c>
      <c r="E5" s="5" t="s">
        <v>95</v>
      </c>
      <c r="F5" s="5" t="s">
        <v>96</v>
      </c>
      <c r="I5" s="20">
        <f t="shared" si="0"/>
        <v>11</v>
      </c>
      <c r="J5" s="20" t="str">
        <f t="shared" si="1"/>
        <v>SNEHA PATIL</v>
      </c>
      <c r="K5" s="20" t="str">
        <f t="shared" si="2"/>
        <v>sneha patil</v>
      </c>
      <c r="L5" s="20" t="str">
        <f t="shared" si="3"/>
        <v>MUM</v>
      </c>
      <c r="M5" s="20" t="str">
        <f t="shared" si="4"/>
        <v>MK</v>
      </c>
      <c r="N5" s="20" t="str">
        <f t="shared" si="5"/>
        <v>104</v>
      </c>
      <c r="O5" s="19" t="str">
        <f t="shared" si="6"/>
        <v>Sneha Patil</v>
      </c>
      <c r="P5" s="19" t="str">
        <f t="shared" si="7"/>
        <v>Sneha Patil,Marketing-Mumbai</v>
      </c>
      <c r="Q5" s="19" t="str">
        <f t="shared" si="8"/>
        <v>Sneha Patil -Mumbai</v>
      </c>
      <c r="R5" s="19" t="str">
        <f t="shared" si="9"/>
        <v>Sneha Patil|Mumbai|Marketing</v>
      </c>
      <c r="S5" s="19" t="str">
        <f t="shared" si="10"/>
        <v>MK|MUM|104</v>
      </c>
      <c r="T5" s="19" t="str">
        <f t="shared" si="11"/>
        <v>MK-TNA-104</v>
      </c>
    </row>
    <row r="6" spans="1:20" ht="14.25" customHeight="1">
      <c r="A6" s="5" t="s">
        <v>97</v>
      </c>
      <c r="B6" s="5" t="s">
        <v>98</v>
      </c>
      <c r="C6" s="17" t="s">
        <v>99</v>
      </c>
      <c r="D6" s="5" t="s">
        <v>100</v>
      </c>
      <c r="E6" s="5" t="s">
        <v>78</v>
      </c>
      <c r="F6" s="5" t="s">
        <v>101</v>
      </c>
      <c r="I6" s="20">
        <f t="shared" si="0"/>
        <v>11</v>
      </c>
      <c r="J6" s="20" t="str">
        <f t="shared" si="1"/>
        <v>ROHAN DESAI</v>
      </c>
      <c r="K6" s="20" t="str">
        <f t="shared" si="2"/>
        <v>rohan desai</v>
      </c>
      <c r="L6" s="20" t="str">
        <f t="shared" si="3"/>
        <v>NAS</v>
      </c>
      <c r="M6" s="20" t="str">
        <f t="shared" si="4"/>
        <v>DA</v>
      </c>
      <c r="N6" s="20" t="str">
        <f t="shared" si="5"/>
        <v>105</v>
      </c>
      <c r="O6" s="19" t="str">
        <f t="shared" si="6"/>
        <v>Rohan Desai</v>
      </c>
      <c r="P6" s="19" t="str">
        <f t="shared" si="7"/>
        <v>Rohan Desai,Data Analytics-Nashik</v>
      </c>
      <c r="Q6" s="19" t="str">
        <f t="shared" si="8"/>
        <v>Rohan Desai -Nashik</v>
      </c>
      <c r="R6" s="19" t="str">
        <f t="shared" si="9"/>
        <v>Rohan Desai|Nashik|Data Analytics</v>
      </c>
      <c r="S6" s="19" t="str">
        <f t="shared" si="10"/>
        <v>DA|NAS|105</v>
      </c>
      <c r="T6" s="19" t="str">
        <f t="shared" si="11"/>
        <v>DA-TNA-105</v>
      </c>
    </row>
    <row r="7" spans="1:20" ht="14.25" customHeight="1">
      <c r="A7" s="5" t="s">
        <v>102</v>
      </c>
      <c r="B7" s="5" t="s">
        <v>103</v>
      </c>
      <c r="C7" s="17" t="s">
        <v>104</v>
      </c>
      <c r="D7" s="5" t="s">
        <v>83</v>
      </c>
      <c r="E7" s="5" t="s">
        <v>105</v>
      </c>
      <c r="F7" s="5" t="s">
        <v>106</v>
      </c>
      <c r="I7" s="20">
        <f t="shared" si="0"/>
        <v>10</v>
      </c>
      <c r="J7" s="20" t="str">
        <f t="shared" si="1"/>
        <v>NEHA JOSHI</v>
      </c>
      <c r="K7" s="20" t="str">
        <f t="shared" si="2"/>
        <v>neha joshi</v>
      </c>
      <c r="L7" s="20" t="str">
        <f t="shared" si="3"/>
        <v>PUN</v>
      </c>
      <c r="M7" s="20" t="str">
        <f t="shared" si="4"/>
        <v>OP</v>
      </c>
      <c r="N7" s="20" t="str">
        <f t="shared" si="5"/>
        <v>106</v>
      </c>
      <c r="O7" s="19" t="str">
        <f t="shared" si="6"/>
        <v>Neha Joshi</v>
      </c>
      <c r="P7" s="19" t="str">
        <f t="shared" si="7"/>
        <v>Neha Joshi,Operations-Pune</v>
      </c>
      <c r="Q7" s="19" t="str">
        <f t="shared" si="8"/>
        <v>Neha Joshi -Pune</v>
      </c>
      <c r="R7" s="19" t="str">
        <f t="shared" si="9"/>
        <v>Neha Joshi|Pune|Operations</v>
      </c>
      <c r="S7" s="19" t="str">
        <f t="shared" si="10"/>
        <v>OP|PUN|106</v>
      </c>
      <c r="T7" s="19" t="str">
        <f t="shared" si="11"/>
        <v>OP-TNA-106</v>
      </c>
    </row>
    <row r="8" spans="1:20" ht="14.25" customHeight="1">
      <c r="A8" s="5" t="s">
        <v>107</v>
      </c>
      <c r="B8" s="5" t="s">
        <v>108</v>
      </c>
      <c r="C8" s="17" t="s">
        <v>109</v>
      </c>
      <c r="D8" s="5" t="s">
        <v>89</v>
      </c>
      <c r="E8" s="5" t="s">
        <v>90</v>
      </c>
      <c r="F8" s="5" t="s">
        <v>110</v>
      </c>
      <c r="I8" s="20">
        <f t="shared" si="0"/>
        <v>10</v>
      </c>
      <c r="J8" s="20" t="str">
        <f t="shared" si="1"/>
        <v>KARAN SHAH</v>
      </c>
      <c r="K8" s="20" t="str">
        <f t="shared" si="2"/>
        <v>karan shah</v>
      </c>
      <c r="L8" s="20" t="str">
        <f t="shared" si="3"/>
        <v>THA</v>
      </c>
      <c r="M8" s="20" t="str">
        <f t="shared" si="4"/>
        <v>FN</v>
      </c>
      <c r="N8" s="20" t="str">
        <f t="shared" si="5"/>
        <v>107</v>
      </c>
      <c r="O8" s="19" t="str">
        <f t="shared" si="6"/>
        <v>Karan Shah</v>
      </c>
      <c r="P8" s="19" t="str">
        <f t="shared" si="7"/>
        <v>Karan Shah,Finance-Thane</v>
      </c>
      <c r="Q8" s="19" t="str">
        <f t="shared" si="8"/>
        <v>Karan Shah -Thane</v>
      </c>
      <c r="R8" s="19" t="str">
        <f t="shared" si="9"/>
        <v>Karan Shah|Thane|Finance</v>
      </c>
      <c r="S8" s="19" t="str">
        <f t="shared" si="10"/>
        <v>FN|THA|107</v>
      </c>
      <c r="T8" s="19" t="str">
        <f t="shared" si="11"/>
        <v>FN-TNA-107</v>
      </c>
    </row>
    <row r="9" spans="1:20" ht="14.25" customHeight="1">
      <c r="A9" s="5" t="s">
        <v>111</v>
      </c>
      <c r="B9" s="5" t="s">
        <v>112</v>
      </c>
      <c r="C9" s="17" t="s">
        <v>113</v>
      </c>
      <c r="D9" s="5" t="s">
        <v>77</v>
      </c>
      <c r="E9" s="5" t="s">
        <v>84</v>
      </c>
      <c r="F9" s="5" t="s">
        <v>114</v>
      </c>
      <c r="I9" s="20">
        <f t="shared" si="0"/>
        <v>10</v>
      </c>
      <c r="J9" s="20" t="str">
        <f t="shared" si="1"/>
        <v>ANJALI RAO</v>
      </c>
      <c r="K9" s="20" t="str">
        <f t="shared" si="2"/>
        <v>anjali rao</v>
      </c>
      <c r="L9" s="20" t="str">
        <f t="shared" si="3"/>
        <v>MUM</v>
      </c>
      <c r="M9" s="20" t="str">
        <f t="shared" si="4"/>
        <v>HR</v>
      </c>
      <c r="N9" s="20" t="str">
        <f t="shared" si="5"/>
        <v>108</v>
      </c>
      <c r="O9" s="19" t="str">
        <f t="shared" si="6"/>
        <v>Anjali Rao</v>
      </c>
      <c r="P9" s="19" t="str">
        <f t="shared" si="7"/>
        <v>Anjali Rao,Human Resources-Mumbai</v>
      </c>
      <c r="Q9" s="19" t="str">
        <f t="shared" si="8"/>
        <v>Anjali Rao -Mumbai</v>
      </c>
      <c r="R9" s="19" t="str">
        <f t="shared" si="9"/>
        <v>Anjali Rao|Mumbai|Human Resources</v>
      </c>
      <c r="S9" s="19" t="str">
        <f t="shared" si="10"/>
        <v>HR|MUM|108</v>
      </c>
      <c r="T9" s="19" t="str">
        <f t="shared" si="11"/>
        <v>HR-TNA-108</v>
      </c>
    </row>
    <row r="10" spans="1:20" ht="14.25" customHeight="1">
      <c r="O10" t="str">
        <f t="shared" si="6"/>
        <v/>
      </c>
    </row>
    <row r="11" spans="1:20" ht="14.25" customHeight="1"/>
    <row r="12" spans="1:20" ht="14.25" customHeight="1">
      <c r="I12" s="19" t="s">
        <v>127</v>
      </c>
      <c r="J12" s="19" t="s">
        <v>128</v>
      </c>
      <c r="K12" s="19" t="s">
        <v>130</v>
      </c>
    </row>
    <row r="13" spans="1:20" ht="14.25" customHeight="1">
      <c r="F13" t="s">
        <v>126</v>
      </c>
      <c r="I13" s="19">
        <f>FIND("B",F13)</f>
        <v>6</v>
      </c>
      <c r="J13" s="19">
        <f>SEARCH("b",F13)</f>
        <v>3</v>
      </c>
      <c r="K13" s="19" t="str">
        <f>TRIM(F15)</f>
        <v>Good Morning</v>
      </c>
    </row>
    <row r="14" spans="1:20" ht="14.25" customHeight="1">
      <c r="F14" t="s">
        <v>126</v>
      </c>
      <c r="I14" s="19">
        <f>FIND("B",F14)</f>
        <v>6</v>
      </c>
      <c r="J14" s="19">
        <f>SEARCH("b",F14)</f>
        <v>3</v>
      </c>
      <c r="K14" s="19"/>
    </row>
    <row r="15" spans="1:20" ht="14.25" customHeight="1">
      <c r="F15" t="s">
        <v>129</v>
      </c>
    </row>
    <row r="16" spans="1:20" ht="14.25" customHeight="1"/>
    <row r="17" spans="11:11" ht="14.25" customHeight="1"/>
    <row r="18" spans="11:11" ht="14.25" customHeight="1"/>
    <row r="19" spans="11:11" ht="14.25" customHeight="1">
      <c r="K19" t="s">
        <v>122</v>
      </c>
    </row>
    <row r="20" spans="11:11" ht="14.25" customHeight="1"/>
    <row r="21" spans="11:11" ht="14.25" customHeight="1"/>
    <row r="22" spans="11:11" ht="14.25" customHeight="1"/>
    <row r="23" spans="11:11" ht="14.25" customHeight="1"/>
    <row r="24" spans="11:11" ht="14.25" customHeight="1"/>
    <row r="25" spans="11:11" ht="14.25" customHeight="1"/>
    <row r="26" spans="11:11" ht="14.25" customHeight="1"/>
    <row r="27" spans="11:11" ht="14.25" customHeight="1"/>
    <row r="28" spans="11:11" ht="14.25" customHeight="1"/>
    <row r="29" spans="11:11" ht="14.25" customHeight="1"/>
    <row r="30" spans="11:11" ht="14.25" customHeight="1"/>
    <row r="31" spans="11:11" ht="14.25" customHeight="1"/>
    <row r="32" spans="1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0"/>
  <sheetViews>
    <sheetView workbookViewId="0"/>
  </sheetViews>
  <sheetFormatPr defaultColWidth="14.453125" defaultRowHeight="15" customHeight="1"/>
  <cols>
    <col min="1" max="2" width="8.7265625" customWidth="1"/>
    <col min="3" max="3" width="13.26953125" customWidth="1"/>
    <col min="4" max="4" width="72.26953125" customWidth="1"/>
    <col min="5" max="5" width="8.7265625" customWidth="1"/>
    <col min="6" max="6" width="29.26953125" customWidth="1"/>
    <col min="7" max="26" width="8.7265625" customWidth="1"/>
  </cols>
  <sheetData>
    <row r="1" spans="2:6" ht="14.25" customHeight="1"/>
    <row r="2" spans="2:6" ht="14.25" customHeight="1">
      <c r="B2" s="1">
        <v>1</v>
      </c>
      <c r="C2" s="3" t="s">
        <v>3</v>
      </c>
      <c r="D2" s="3" t="s">
        <v>5</v>
      </c>
    </row>
    <row r="3" spans="2:6" ht="14.25" customHeight="1">
      <c r="B3" s="1">
        <v>2</v>
      </c>
      <c r="C3" s="3" t="s">
        <v>8</v>
      </c>
      <c r="D3" s="3" t="s">
        <v>9</v>
      </c>
    </row>
    <row r="4" spans="2:6" ht="14.25" customHeight="1">
      <c r="B4" s="1">
        <v>3</v>
      </c>
      <c r="C4" s="3" t="s">
        <v>12</v>
      </c>
      <c r="D4" s="3" t="s">
        <v>13</v>
      </c>
    </row>
    <row r="5" spans="2:6" ht="14.25" customHeight="1">
      <c r="B5" s="1">
        <v>4</v>
      </c>
      <c r="C5" s="3" t="s">
        <v>15</v>
      </c>
      <c r="D5" s="3" t="s">
        <v>16</v>
      </c>
    </row>
    <row r="6" spans="2:6" ht="14.25" customHeight="1">
      <c r="B6" s="1">
        <v>5</v>
      </c>
      <c r="C6" s="3" t="s">
        <v>17</v>
      </c>
      <c r="D6" s="3" t="s">
        <v>18</v>
      </c>
    </row>
    <row r="7" spans="2:6" ht="14.25" customHeight="1">
      <c r="B7" s="1">
        <v>6</v>
      </c>
      <c r="C7" s="3" t="s">
        <v>19</v>
      </c>
      <c r="D7" s="3" t="s">
        <v>36</v>
      </c>
    </row>
    <row r="8" spans="2:6" ht="14.25" customHeight="1">
      <c r="B8" s="1">
        <v>7</v>
      </c>
      <c r="C8" s="3" t="s">
        <v>38</v>
      </c>
      <c r="D8" s="3" t="s">
        <v>39</v>
      </c>
    </row>
    <row r="9" spans="2:6" ht="14.25" customHeight="1">
      <c r="B9" s="1">
        <v>8</v>
      </c>
      <c r="C9" s="3" t="s">
        <v>40</v>
      </c>
      <c r="D9" s="3" t="s">
        <v>41</v>
      </c>
    </row>
    <row r="10" spans="2:6" ht="14.25" customHeight="1">
      <c r="B10" s="1">
        <v>9</v>
      </c>
      <c r="C10" s="3" t="s">
        <v>44</v>
      </c>
      <c r="D10" s="3" t="s">
        <v>45</v>
      </c>
    </row>
    <row r="11" spans="2:6" ht="14.25" customHeight="1">
      <c r="B11" s="1">
        <v>10</v>
      </c>
      <c r="C11" s="3" t="s">
        <v>47</v>
      </c>
      <c r="D11" s="3" t="s">
        <v>59</v>
      </c>
      <c r="F11" s="3" t="s">
        <v>61</v>
      </c>
    </row>
    <row r="12" spans="2:6" ht="14.25" customHeight="1">
      <c r="B12" s="1">
        <v>11</v>
      </c>
      <c r="C12" s="3" t="s">
        <v>63</v>
      </c>
      <c r="D12" s="3" t="s">
        <v>66</v>
      </c>
      <c r="F12" s="3" t="s">
        <v>67</v>
      </c>
    </row>
    <row r="13" spans="2:6" ht="14.25" customHeight="1">
      <c r="B13" s="1">
        <v>12</v>
      </c>
      <c r="C13" s="3" t="s">
        <v>68</v>
      </c>
      <c r="D13" s="3"/>
    </row>
    <row r="14" spans="2:6" ht="14.25" customHeight="1">
      <c r="B14" s="1">
        <v>13</v>
      </c>
      <c r="C14" s="3" t="s">
        <v>71</v>
      </c>
      <c r="D14" s="3" t="s">
        <v>73</v>
      </c>
    </row>
    <row r="15" spans="2:6" ht="14.25" customHeight="1">
      <c r="B15" s="1">
        <v>14</v>
      </c>
      <c r="C15" s="3" t="s">
        <v>75</v>
      </c>
      <c r="D15" s="15"/>
    </row>
    <row r="16" spans="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H1:J1000"/>
  <sheetViews>
    <sheetView workbookViewId="0"/>
  </sheetViews>
  <sheetFormatPr defaultColWidth="14.453125" defaultRowHeight="15" customHeight="1"/>
  <cols>
    <col min="1" max="7" width="8.7265625" customWidth="1"/>
    <col min="8" max="8" width="33.26953125" customWidth="1"/>
    <col min="9" max="9" width="14.08984375" customWidth="1"/>
    <col min="10" max="10" width="12.81640625" customWidth="1"/>
    <col min="11" max="26" width="8.7265625" customWidth="1"/>
  </cols>
  <sheetData>
    <row r="1" spans="8:10" ht="14.25" customHeight="1"/>
    <row r="2" spans="8:10" ht="15" customHeight="1">
      <c r="H2" s="4" t="s">
        <v>0</v>
      </c>
      <c r="I2" s="6"/>
      <c r="J2" s="6"/>
    </row>
    <row r="3" spans="8:10" ht="15" customHeight="1">
      <c r="H3" s="7" t="s">
        <v>26</v>
      </c>
      <c r="I3" s="8"/>
      <c r="J3" s="8"/>
    </row>
    <row r="4" spans="8:10" ht="15" customHeight="1">
      <c r="H4" s="7" t="s">
        <v>32</v>
      </c>
      <c r="I4" s="8"/>
      <c r="J4" s="8"/>
    </row>
    <row r="5" spans="8:10" ht="15" customHeight="1">
      <c r="H5" s="7" t="s">
        <v>33</v>
      </c>
      <c r="I5" s="8"/>
      <c r="J5" s="8"/>
    </row>
    <row r="6" spans="8:10" ht="15" customHeight="1">
      <c r="H6" s="9"/>
      <c r="I6" s="8"/>
      <c r="J6" s="8"/>
    </row>
    <row r="7" spans="8:10" ht="15" customHeight="1">
      <c r="H7" s="7" t="s">
        <v>37</v>
      </c>
      <c r="I7" s="8"/>
      <c r="J7" s="8"/>
    </row>
    <row r="8" spans="8:10" ht="15" customHeight="1">
      <c r="H8" s="9"/>
      <c r="I8" s="8"/>
      <c r="J8" s="8"/>
    </row>
    <row r="9" spans="8:10" ht="15" customHeight="1">
      <c r="H9" s="9"/>
      <c r="I9" s="8"/>
      <c r="J9" s="8"/>
    </row>
    <row r="10" spans="8:10" ht="15" customHeight="1">
      <c r="H10" s="9"/>
      <c r="I10" s="8"/>
      <c r="J10" s="8"/>
    </row>
    <row r="11" spans="8:10" ht="15" customHeight="1">
      <c r="H11" s="7" t="s">
        <v>42</v>
      </c>
      <c r="I11" s="8"/>
      <c r="J11" s="8"/>
    </row>
    <row r="12" spans="8:10" ht="15" customHeight="1">
      <c r="H12" s="7" t="s">
        <v>43</v>
      </c>
      <c r="I12" s="8"/>
      <c r="J12" s="8"/>
    </row>
    <row r="13" spans="8:10" ht="15" customHeight="1">
      <c r="H13" s="9"/>
      <c r="I13" s="8"/>
      <c r="J13" s="8"/>
    </row>
    <row r="14" spans="8:10" ht="15" customHeight="1">
      <c r="H14" s="7" t="s">
        <v>46</v>
      </c>
      <c r="I14" s="8"/>
      <c r="J14" s="8"/>
    </row>
    <row r="15" spans="8:10" ht="15" customHeight="1">
      <c r="H15" s="7" t="s">
        <v>48</v>
      </c>
      <c r="I15" s="8"/>
      <c r="J15" s="8"/>
    </row>
    <row r="16" spans="8:10" ht="15" customHeight="1">
      <c r="H16" s="9"/>
      <c r="I16" s="8"/>
      <c r="J16" s="8"/>
    </row>
    <row r="17" spans="8:10" ht="15" customHeight="1">
      <c r="H17" s="7" t="s">
        <v>49</v>
      </c>
      <c r="I17" s="8"/>
      <c r="J17" s="8"/>
    </row>
    <row r="18" spans="8:10" ht="15" customHeight="1">
      <c r="H18" s="7" t="s">
        <v>50</v>
      </c>
      <c r="I18" s="8"/>
      <c r="J18" s="8"/>
    </row>
    <row r="19" spans="8:10" ht="15" customHeight="1">
      <c r="H19" s="9"/>
      <c r="I19" s="8"/>
      <c r="J19" s="8"/>
    </row>
    <row r="20" spans="8:10" ht="15" customHeight="1">
      <c r="H20" s="7" t="s">
        <v>53</v>
      </c>
      <c r="I20" s="8"/>
      <c r="J20" s="8"/>
    </row>
    <row r="21" spans="8:10" ht="15" customHeight="1">
      <c r="H21" s="7" t="s">
        <v>54</v>
      </c>
      <c r="I21" s="8"/>
      <c r="J21" s="8"/>
    </row>
    <row r="22" spans="8:10" ht="15" customHeight="1">
      <c r="H22" s="7" t="s">
        <v>55</v>
      </c>
      <c r="I22" s="8"/>
      <c r="J22" s="8"/>
    </row>
    <row r="23" spans="8:10" ht="15" customHeight="1">
      <c r="H23" s="7" t="s">
        <v>56</v>
      </c>
      <c r="I23" s="8"/>
      <c r="J23" s="8"/>
    </row>
    <row r="24" spans="8:10" ht="15" customHeight="1">
      <c r="H24" s="9"/>
      <c r="I24" s="8"/>
      <c r="J24" s="8"/>
    </row>
    <row r="25" spans="8:10" ht="15" customHeight="1">
      <c r="H25" s="7" t="s">
        <v>60</v>
      </c>
      <c r="I25" s="8"/>
      <c r="J25" s="8"/>
    </row>
    <row r="26" spans="8:10" ht="15" customHeight="1">
      <c r="H26" s="7" t="s">
        <v>62</v>
      </c>
      <c r="I26" s="8"/>
      <c r="J26" s="8"/>
    </row>
    <row r="27" spans="8:10" ht="15" customHeight="1">
      <c r="H27" s="13"/>
      <c r="I27" s="13"/>
      <c r="J27" s="13"/>
    </row>
    <row r="28" spans="8:10" ht="15" customHeight="1">
      <c r="H28" s="61" t="s">
        <v>69</v>
      </c>
      <c r="I28" s="62"/>
      <c r="J28" s="63"/>
    </row>
    <row r="29" spans="8:10" ht="15" customHeight="1">
      <c r="H29" s="13"/>
      <c r="I29" s="13"/>
      <c r="J29" s="13"/>
    </row>
    <row r="30" spans="8:10" ht="15" customHeight="1">
      <c r="H30" s="7" t="s">
        <v>74</v>
      </c>
      <c r="I30" s="14" t="s">
        <v>76</v>
      </c>
      <c r="J30" s="14" t="s">
        <v>69</v>
      </c>
    </row>
    <row r="31" spans="8:10" ht="15" customHeight="1">
      <c r="H31" s="16"/>
      <c r="I31" s="8"/>
      <c r="J31" s="8"/>
    </row>
    <row r="32" spans="8:10" ht="15" customHeight="1">
      <c r="H32" s="16"/>
      <c r="I32" s="8"/>
      <c r="J32" s="8"/>
    </row>
    <row r="33" spans="8:10" ht="15" customHeight="1">
      <c r="H33" s="16"/>
      <c r="I33" s="8"/>
      <c r="J33" s="8"/>
    </row>
    <row r="34" spans="8:10" ht="15" customHeight="1">
      <c r="H34" s="16"/>
      <c r="I34" s="8"/>
      <c r="J34" s="8"/>
    </row>
    <row r="35" spans="8:10" ht="15" customHeight="1">
      <c r="H35" s="16"/>
      <c r="I35" s="8"/>
      <c r="J35" s="8"/>
    </row>
    <row r="36" spans="8:10" ht="14.25" customHeight="1"/>
    <row r="37" spans="8:10" ht="14.25" customHeight="1"/>
    <row r="38" spans="8:10" ht="14.25" customHeight="1"/>
    <row r="39" spans="8:10" ht="14.25" customHeight="1"/>
    <row r="40" spans="8:10" ht="14.25" customHeight="1"/>
    <row r="41" spans="8:10" ht="14.25" customHeight="1"/>
    <row r="42" spans="8:10" ht="14.25" customHeight="1"/>
    <row r="43" spans="8:10" ht="14.25" customHeight="1"/>
    <row r="44" spans="8:10" ht="14.25" customHeight="1"/>
    <row r="45" spans="8:10" ht="14.25" customHeight="1"/>
    <row r="46" spans="8:10" ht="14.25" customHeight="1"/>
    <row r="47" spans="8:10" ht="14.25" customHeight="1"/>
    <row r="48" spans="8: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H28:J2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topLeftCell="C1" workbookViewId="0">
      <selection activeCell="I14" sqref="I14"/>
    </sheetView>
  </sheetViews>
  <sheetFormatPr defaultColWidth="14.453125" defaultRowHeight="15" customHeight="1"/>
  <cols>
    <col min="1" max="10" width="15.7265625" customWidth="1"/>
    <col min="11" max="26" width="8.7265625" customWidth="1"/>
  </cols>
  <sheetData>
    <row r="1" spans="1:13" ht="14.25" customHeight="1">
      <c r="A1" s="2" t="s">
        <v>2</v>
      </c>
      <c r="B1" s="2" t="s">
        <v>22</v>
      </c>
      <c r="C1" s="2" t="s">
        <v>23</v>
      </c>
      <c r="D1" s="2" t="s">
        <v>24</v>
      </c>
      <c r="E1" s="2" t="s">
        <v>25</v>
      </c>
      <c r="F1" s="2" t="s">
        <v>27</v>
      </c>
      <c r="G1" s="2" t="s">
        <v>28</v>
      </c>
      <c r="H1" s="2" t="s">
        <v>29</v>
      </c>
      <c r="I1" s="2" t="s">
        <v>30</v>
      </c>
      <c r="J1" s="2" t="s">
        <v>31</v>
      </c>
    </row>
    <row r="2" spans="1:13" ht="14.25" customHeight="1">
      <c r="A2" s="5" t="s">
        <v>34</v>
      </c>
      <c r="B2" s="5" t="s">
        <v>35</v>
      </c>
      <c r="C2" s="5">
        <v>3</v>
      </c>
      <c r="D2" s="10">
        <v>55000</v>
      </c>
      <c r="E2" s="11">
        <v>0.05</v>
      </c>
      <c r="F2" s="5">
        <f>C2*D2</f>
        <v>165000</v>
      </c>
      <c r="G2" s="21">
        <f>F2*E2</f>
        <v>8250</v>
      </c>
      <c r="H2" s="21">
        <f>F2-G2</f>
        <v>156750</v>
      </c>
      <c r="I2" s="5">
        <f>H2*$M$2</f>
        <v>28215</v>
      </c>
      <c r="J2" s="21">
        <f>H2+I2</f>
        <v>184965</v>
      </c>
      <c r="M2" s="12">
        <v>0.18</v>
      </c>
    </row>
    <row r="3" spans="1:13" ht="14.25" customHeight="1">
      <c r="A3" s="5" t="s">
        <v>51</v>
      </c>
      <c r="B3" s="5" t="s">
        <v>52</v>
      </c>
      <c r="C3" s="5">
        <v>5</v>
      </c>
      <c r="D3" s="10">
        <v>18000</v>
      </c>
      <c r="E3" s="11">
        <v>0.08</v>
      </c>
      <c r="F3" s="5">
        <f t="shared" ref="F3:F7" si="0">C3*D3</f>
        <v>90000</v>
      </c>
      <c r="G3" s="21">
        <f t="shared" ref="G3:G7" si="1">F3*E3</f>
        <v>7200</v>
      </c>
      <c r="H3" s="21">
        <f t="shared" ref="H3:H7" si="2">F3-G3</f>
        <v>82800</v>
      </c>
      <c r="I3" s="5">
        <f t="shared" ref="I3:I7" si="3">H3*$M$2</f>
        <v>14904</v>
      </c>
      <c r="J3" s="21">
        <f t="shared" ref="J3:J7" si="4">H3+I3</f>
        <v>97704</v>
      </c>
    </row>
    <row r="4" spans="1:13" ht="14.25" customHeight="1">
      <c r="A4" s="5" t="s">
        <v>57</v>
      </c>
      <c r="B4" s="5" t="s">
        <v>58</v>
      </c>
      <c r="C4" s="5">
        <v>10</v>
      </c>
      <c r="D4" s="10">
        <v>2500</v>
      </c>
      <c r="E4" s="11">
        <v>0.05</v>
      </c>
      <c r="F4" s="5">
        <f t="shared" si="0"/>
        <v>25000</v>
      </c>
      <c r="G4" s="21">
        <f t="shared" si="1"/>
        <v>1250</v>
      </c>
      <c r="H4" s="21">
        <f t="shared" si="2"/>
        <v>23750</v>
      </c>
      <c r="I4" s="5">
        <f t="shared" si="3"/>
        <v>4275</v>
      </c>
      <c r="J4" s="21">
        <f t="shared" si="4"/>
        <v>28025</v>
      </c>
    </row>
    <row r="5" spans="1:13" ht="14.25" customHeight="1">
      <c r="A5" s="5" t="s">
        <v>64</v>
      </c>
      <c r="B5" s="5" t="s">
        <v>65</v>
      </c>
      <c r="C5" s="5">
        <v>15</v>
      </c>
      <c r="D5" s="10">
        <v>1200</v>
      </c>
      <c r="E5" s="11">
        <v>0.1</v>
      </c>
      <c r="F5" s="5">
        <f t="shared" si="0"/>
        <v>18000</v>
      </c>
      <c r="G5" s="21">
        <f t="shared" si="1"/>
        <v>1800</v>
      </c>
      <c r="H5" s="21">
        <f t="shared" si="2"/>
        <v>16200</v>
      </c>
      <c r="I5" s="5">
        <f t="shared" si="3"/>
        <v>2916</v>
      </c>
      <c r="J5" s="21">
        <f t="shared" si="4"/>
        <v>19116</v>
      </c>
    </row>
    <row r="6" spans="1:13" ht="14.25" customHeight="1">
      <c r="A6" s="5" t="s">
        <v>70</v>
      </c>
      <c r="B6" s="5" t="s">
        <v>35</v>
      </c>
      <c r="C6" s="5">
        <v>2</v>
      </c>
      <c r="D6" s="10">
        <v>55000</v>
      </c>
      <c r="E6" s="11">
        <v>7.0000000000000007E-2</v>
      </c>
      <c r="F6" s="5">
        <f t="shared" si="0"/>
        <v>110000</v>
      </c>
      <c r="G6" s="21">
        <f t="shared" si="1"/>
        <v>7700.0000000000009</v>
      </c>
      <c r="H6" s="21">
        <f t="shared" si="2"/>
        <v>102300</v>
      </c>
      <c r="I6" s="5">
        <f t="shared" si="3"/>
        <v>18414</v>
      </c>
      <c r="J6" s="21">
        <f t="shared" si="4"/>
        <v>120714</v>
      </c>
    </row>
    <row r="7" spans="1:13" ht="14.25" customHeight="1">
      <c r="A7" s="5" t="s">
        <v>72</v>
      </c>
      <c r="B7" s="5" t="s">
        <v>52</v>
      </c>
      <c r="C7" s="5">
        <v>7</v>
      </c>
      <c r="D7" s="10">
        <v>18000</v>
      </c>
      <c r="E7" s="11">
        <v>0.05</v>
      </c>
      <c r="F7" s="5">
        <f t="shared" si="0"/>
        <v>126000</v>
      </c>
      <c r="G7" s="21">
        <f t="shared" si="1"/>
        <v>6300</v>
      </c>
      <c r="H7" s="21">
        <f t="shared" si="2"/>
        <v>119700</v>
      </c>
      <c r="I7" s="5">
        <f t="shared" si="3"/>
        <v>21546</v>
      </c>
      <c r="J7" s="21">
        <f t="shared" si="4"/>
        <v>141246</v>
      </c>
    </row>
    <row r="8" spans="1:13" ht="14.25" customHeight="1"/>
    <row r="9" spans="1:13" ht="14.25" customHeight="1"/>
    <row r="10" spans="1:13" ht="14.25" customHeight="1"/>
    <row r="11" spans="1:13" ht="14.25" customHeight="1"/>
    <row r="12" spans="1:13" ht="14.25" customHeight="1"/>
    <row r="13" spans="1:13" ht="14.25" customHeight="1"/>
    <row r="14" spans="1:13" ht="14.25" customHeight="1"/>
    <row r="15" spans="1:13" ht="14.25" customHeight="1"/>
    <row r="16" spans="1: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25424-9047-4542-87E6-71E76ACF242A}">
  <dimension ref="A1:Z1000"/>
  <sheetViews>
    <sheetView topLeftCell="B1" zoomScale="78" workbookViewId="0">
      <selection activeCell="M6" sqref="M6"/>
    </sheetView>
  </sheetViews>
  <sheetFormatPr defaultRowHeight="14.5"/>
  <cols>
    <col min="2" max="2" width="9.7265625" bestFit="1" customWidth="1"/>
    <col min="3" max="3" width="11.26953125" bestFit="1" customWidth="1"/>
    <col min="4" max="4" width="11.6328125" bestFit="1" customWidth="1"/>
    <col min="5" max="5" width="6.90625" bestFit="1" customWidth="1"/>
    <col min="6" max="6" width="22" bestFit="1" customWidth="1"/>
    <col min="7" max="7" width="25.7265625" bestFit="1" customWidth="1"/>
    <col min="10" max="10" width="5.6328125" bestFit="1" customWidth="1"/>
    <col min="11" max="11" width="6.36328125" bestFit="1" customWidth="1"/>
    <col min="13" max="13" width="19.08984375" bestFit="1" customWidth="1"/>
    <col min="14" max="14" width="16.90625" customWidth="1"/>
    <col min="15" max="15" width="25.6328125" customWidth="1"/>
  </cols>
  <sheetData>
    <row r="1" spans="1:26" ht="15" thickBot="1">
      <c r="A1" s="28"/>
      <c r="B1" s="28"/>
      <c r="C1" s="28"/>
      <c r="D1" s="28"/>
      <c r="E1" s="28"/>
      <c r="F1" s="29"/>
      <c r="G1" s="29"/>
      <c r="H1" s="28"/>
      <c r="I1" s="28"/>
      <c r="J1" s="28"/>
      <c r="K1" s="28"/>
      <c r="L1" s="28"/>
      <c r="M1" s="29"/>
      <c r="N1" s="28"/>
      <c r="O1" s="28"/>
      <c r="P1" s="28"/>
      <c r="Q1" s="28"/>
      <c r="R1" s="28"/>
      <c r="S1" s="28"/>
      <c r="T1" s="28"/>
      <c r="U1" s="28"/>
      <c r="V1" s="28"/>
      <c r="W1" s="28"/>
      <c r="X1" s="28"/>
      <c r="Y1" s="28"/>
      <c r="Z1" s="28"/>
    </row>
    <row r="2" spans="1:26" ht="19" thickBot="1">
      <c r="A2" s="28"/>
      <c r="B2" s="28"/>
      <c r="C2" s="28"/>
      <c r="D2" s="28"/>
      <c r="E2" s="30"/>
      <c r="F2" s="31" t="s">
        <v>132</v>
      </c>
      <c r="G2" s="31" t="s">
        <v>133</v>
      </c>
      <c r="H2" s="28"/>
      <c r="I2" s="28"/>
      <c r="J2" s="28"/>
      <c r="K2" s="28"/>
      <c r="L2" s="30"/>
      <c r="M2" s="31" t="s">
        <v>134</v>
      </c>
      <c r="N2" s="28"/>
      <c r="O2" s="28"/>
      <c r="P2" s="28"/>
      <c r="Q2" s="28"/>
      <c r="R2" s="28"/>
      <c r="S2" s="28"/>
      <c r="T2" s="28"/>
      <c r="U2" s="28"/>
      <c r="V2" s="28"/>
      <c r="W2" s="28"/>
      <c r="X2" s="28"/>
      <c r="Y2" s="28"/>
      <c r="Z2" s="28"/>
    </row>
    <row r="3" spans="1:26" ht="15" thickBot="1">
      <c r="A3" s="28"/>
      <c r="B3" s="29"/>
      <c r="C3" s="29"/>
      <c r="D3" s="29"/>
      <c r="E3" s="29"/>
      <c r="F3" s="29"/>
      <c r="G3" s="29"/>
      <c r="H3" s="28"/>
      <c r="I3" s="28"/>
      <c r="J3" s="28"/>
      <c r="K3" s="28"/>
      <c r="L3" s="28"/>
      <c r="M3" s="40"/>
      <c r="N3" s="40"/>
      <c r="O3" s="40"/>
      <c r="P3" s="28"/>
      <c r="Q3" s="28"/>
      <c r="R3" s="28"/>
      <c r="S3" s="28"/>
      <c r="T3" s="28"/>
      <c r="U3" s="28"/>
      <c r="V3" s="28"/>
      <c r="W3" s="28"/>
      <c r="X3" s="28"/>
      <c r="Y3" s="28"/>
      <c r="Z3" s="28"/>
    </row>
    <row r="4" spans="1:26" ht="21.5" thickBot="1">
      <c r="A4" s="30"/>
      <c r="B4" s="32" t="s">
        <v>135</v>
      </c>
      <c r="C4" s="32" t="s">
        <v>22</v>
      </c>
      <c r="D4" s="32" t="s">
        <v>23</v>
      </c>
      <c r="E4" s="32" t="s">
        <v>136</v>
      </c>
      <c r="F4" s="32" t="s">
        <v>137</v>
      </c>
      <c r="G4" s="32" t="s">
        <v>138</v>
      </c>
      <c r="H4" s="28"/>
      <c r="I4" s="28"/>
      <c r="J4" s="28"/>
      <c r="K4" s="28"/>
      <c r="L4" s="37"/>
      <c r="M4" s="64" t="s">
        <v>139</v>
      </c>
      <c r="N4" s="64"/>
      <c r="O4" s="64"/>
      <c r="P4" s="38"/>
      <c r="Q4" s="28"/>
      <c r="R4" s="28"/>
      <c r="S4" s="28"/>
      <c r="T4" s="28"/>
      <c r="U4" s="28"/>
      <c r="V4" s="28"/>
      <c r="W4" s="28"/>
      <c r="X4" s="28"/>
      <c r="Y4" s="28"/>
      <c r="Z4" s="28"/>
    </row>
    <row r="5" spans="1:26" ht="21.5" thickBot="1">
      <c r="A5" s="30"/>
      <c r="B5" s="33" t="s">
        <v>140</v>
      </c>
      <c r="C5" s="33" t="s">
        <v>65</v>
      </c>
      <c r="D5" s="33">
        <v>5</v>
      </c>
      <c r="E5" s="33">
        <v>75</v>
      </c>
      <c r="F5" s="33">
        <f>D5*E5</f>
        <v>375</v>
      </c>
      <c r="G5" s="34">
        <f>F5*$K$6</f>
        <v>37.5</v>
      </c>
      <c r="H5" s="28"/>
      <c r="I5" s="28"/>
      <c r="J5" s="29"/>
      <c r="K5" s="29"/>
      <c r="L5" s="37"/>
      <c r="M5" s="41">
        <v>0.1</v>
      </c>
      <c r="N5" s="41">
        <v>0.2</v>
      </c>
      <c r="O5" s="41">
        <v>0.3</v>
      </c>
      <c r="P5" s="38"/>
      <c r="Q5" s="28"/>
      <c r="R5" s="28"/>
      <c r="S5" s="28"/>
      <c r="T5" s="28"/>
      <c r="U5" s="28"/>
      <c r="V5" s="28"/>
      <c r="W5" s="28"/>
      <c r="X5" s="28"/>
      <c r="Y5" s="28"/>
      <c r="Z5" s="28"/>
    </row>
    <row r="6" spans="1:26" ht="21.5" thickBot="1">
      <c r="A6" s="30"/>
      <c r="B6" s="33" t="s">
        <v>141</v>
      </c>
      <c r="C6" s="33" t="s">
        <v>58</v>
      </c>
      <c r="D6" s="33">
        <v>10</v>
      </c>
      <c r="E6" s="33">
        <v>85</v>
      </c>
      <c r="F6" s="33">
        <f t="shared" ref="F6:F12" si="0">D6*E6</f>
        <v>850</v>
      </c>
      <c r="G6" s="34">
        <f t="shared" ref="G6:G12" si="1">F6*$K$6</f>
        <v>85</v>
      </c>
      <c r="H6" s="28"/>
      <c r="I6" s="30"/>
      <c r="J6" s="32" t="s">
        <v>30</v>
      </c>
      <c r="K6" s="35">
        <v>0.1</v>
      </c>
      <c r="L6" s="37"/>
      <c r="M6" s="42">
        <f>$F5*M$5</f>
        <v>37.5</v>
      </c>
      <c r="N6" s="42">
        <f t="shared" ref="N6:O6" si="2">$F5*N$5</f>
        <v>75</v>
      </c>
      <c r="O6" s="42">
        <f t="shared" si="2"/>
        <v>112.5</v>
      </c>
      <c r="P6" s="38"/>
      <c r="Q6" s="28"/>
      <c r="R6" s="28"/>
      <c r="S6" s="28"/>
      <c r="T6" s="28"/>
      <c r="U6" s="28"/>
      <c r="V6" s="28"/>
      <c r="W6" s="28"/>
      <c r="X6" s="28"/>
      <c r="Y6" s="28"/>
      <c r="Z6" s="28"/>
    </row>
    <row r="7" spans="1:26" ht="15" thickBot="1">
      <c r="A7" s="30"/>
      <c r="B7" s="33" t="s">
        <v>142</v>
      </c>
      <c r="C7" s="33" t="s">
        <v>52</v>
      </c>
      <c r="D7" s="33">
        <v>20</v>
      </c>
      <c r="E7" s="33">
        <v>90</v>
      </c>
      <c r="F7" s="33">
        <f t="shared" si="0"/>
        <v>1800</v>
      </c>
      <c r="G7" s="34">
        <f t="shared" si="1"/>
        <v>180</v>
      </c>
      <c r="H7" s="28"/>
      <c r="I7" s="28"/>
      <c r="J7" s="28"/>
      <c r="K7" s="28"/>
      <c r="L7" s="37"/>
      <c r="M7" s="42">
        <f t="shared" ref="M7:M13" si="3">$F6*M$5</f>
        <v>85</v>
      </c>
      <c r="N7" s="42">
        <f t="shared" ref="N7:N13" si="4">$F6*N$5</f>
        <v>170</v>
      </c>
      <c r="O7" s="42">
        <f t="shared" ref="O7:O13" si="5">$F6*O$5</f>
        <v>255</v>
      </c>
      <c r="P7" s="38"/>
      <c r="Q7" s="28"/>
      <c r="R7" s="28"/>
      <c r="S7" s="28"/>
      <c r="T7" s="28"/>
      <c r="U7" s="28"/>
      <c r="V7" s="28"/>
      <c r="W7" s="28"/>
      <c r="X7" s="28"/>
      <c r="Y7" s="28"/>
      <c r="Z7" s="28"/>
    </row>
    <row r="8" spans="1:26" ht="15" thickBot="1">
      <c r="A8" s="30"/>
      <c r="B8" s="33" t="s">
        <v>143</v>
      </c>
      <c r="C8" s="33" t="s">
        <v>144</v>
      </c>
      <c r="D8" s="33">
        <v>15</v>
      </c>
      <c r="E8" s="33">
        <v>45</v>
      </c>
      <c r="F8" s="33">
        <f t="shared" si="0"/>
        <v>675</v>
      </c>
      <c r="G8" s="34">
        <f t="shared" si="1"/>
        <v>67.5</v>
      </c>
      <c r="H8" s="28"/>
      <c r="I8" s="28"/>
      <c r="J8" s="28"/>
      <c r="K8" s="28"/>
      <c r="L8" s="37"/>
      <c r="M8" s="42">
        <f t="shared" si="3"/>
        <v>180</v>
      </c>
      <c r="N8" s="42">
        <f t="shared" si="4"/>
        <v>360</v>
      </c>
      <c r="O8" s="42">
        <f t="shared" si="5"/>
        <v>540</v>
      </c>
      <c r="P8" s="38"/>
      <c r="Q8" s="28"/>
      <c r="R8" s="28"/>
      <c r="S8" s="28"/>
      <c r="T8" s="28"/>
      <c r="U8" s="28"/>
      <c r="V8" s="28"/>
      <c r="W8" s="28"/>
      <c r="X8" s="28"/>
      <c r="Y8" s="28"/>
      <c r="Z8" s="28"/>
    </row>
    <row r="9" spans="1:26" ht="15" thickBot="1">
      <c r="A9" s="30"/>
      <c r="B9" s="33" t="s">
        <v>145</v>
      </c>
      <c r="C9" s="33" t="s">
        <v>52</v>
      </c>
      <c r="D9" s="33">
        <v>18</v>
      </c>
      <c r="E9" s="33">
        <v>90</v>
      </c>
      <c r="F9" s="33">
        <f t="shared" si="0"/>
        <v>1620</v>
      </c>
      <c r="G9" s="34">
        <f t="shared" si="1"/>
        <v>162</v>
      </c>
      <c r="H9" s="28"/>
      <c r="I9" s="28"/>
      <c r="J9" s="28"/>
      <c r="K9" s="28"/>
      <c r="L9" s="37"/>
      <c r="M9" s="42">
        <f t="shared" si="3"/>
        <v>67.5</v>
      </c>
      <c r="N9" s="42">
        <f t="shared" si="4"/>
        <v>135</v>
      </c>
      <c r="O9" s="42">
        <f t="shared" si="5"/>
        <v>202.5</v>
      </c>
      <c r="P9" s="38"/>
      <c r="Q9" s="28"/>
      <c r="R9" s="28"/>
      <c r="S9" s="28"/>
      <c r="T9" s="28"/>
      <c r="U9" s="28"/>
      <c r="V9" s="28"/>
      <c r="W9" s="28"/>
      <c r="X9" s="28"/>
      <c r="Y9" s="28"/>
      <c r="Z9" s="28"/>
    </row>
    <row r="10" spans="1:26" ht="15" thickBot="1">
      <c r="A10" s="30"/>
      <c r="B10" s="33" t="s">
        <v>146</v>
      </c>
      <c r="C10" s="33" t="s">
        <v>52</v>
      </c>
      <c r="D10" s="33">
        <v>8</v>
      </c>
      <c r="E10" s="33">
        <v>90</v>
      </c>
      <c r="F10" s="33">
        <f t="shared" si="0"/>
        <v>720</v>
      </c>
      <c r="G10" s="34">
        <f t="shared" si="1"/>
        <v>72</v>
      </c>
      <c r="H10" s="28"/>
      <c r="I10" s="28"/>
      <c r="J10" s="28"/>
      <c r="K10" s="28"/>
      <c r="L10" s="37"/>
      <c r="M10" s="42">
        <f t="shared" si="3"/>
        <v>162</v>
      </c>
      <c r="N10" s="42">
        <f t="shared" si="4"/>
        <v>324</v>
      </c>
      <c r="O10" s="42">
        <f t="shared" si="5"/>
        <v>486</v>
      </c>
      <c r="P10" s="38"/>
      <c r="Q10" s="28"/>
      <c r="R10" s="28"/>
      <c r="S10" s="28"/>
      <c r="T10" s="28"/>
      <c r="U10" s="28"/>
      <c r="V10" s="28"/>
      <c r="W10" s="28"/>
      <c r="X10" s="28"/>
      <c r="Y10" s="28"/>
      <c r="Z10" s="28"/>
    </row>
    <row r="11" spans="1:26" ht="15" thickBot="1">
      <c r="A11" s="30"/>
      <c r="B11" s="33" t="s">
        <v>147</v>
      </c>
      <c r="C11" s="33" t="s">
        <v>148</v>
      </c>
      <c r="D11" s="33">
        <v>9</v>
      </c>
      <c r="E11" s="33">
        <v>100</v>
      </c>
      <c r="F11" s="33">
        <f t="shared" si="0"/>
        <v>900</v>
      </c>
      <c r="G11" s="34">
        <f t="shared" si="1"/>
        <v>90</v>
      </c>
      <c r="H11" s="28"/>
      <c r="I11" s="28"/>
      <c r="J11" s="28"/>
      <c r="K11" s="28"/>
      <c r="L11" s="37"/>
      <c r="M11" s="42">
        <f t="shared" si="3"/>
        <v>72</v>
      </c>
      <c r="N11" s="42">
        <f t="shared" si="4"/>
        <v>144</v>
      </c>
      <c r="O11" s="42">
        <f t="shared" si="5"/>
        <v>216</v>
      </c>
      <c r="P11" s="38"/>
      <c r="Q11" s="28"/>
      <c r="R11" s="28"/>
      <c r="S11" s="28"/>
      <c r="T11" s="28"/>
      <c r="U11" s="28"/>
      <c r="V11" s="28"/>
      <c r="W11" s="28"/>
      <c r="X11" s="28"/>
      <c r="Y11" s="28"/>
      <c r="Z11" s="28"/>
    </row>
    <row r="12" spans="1:26" ht="15" thickBot="1">
      <c r="A12" s="30"/>
      <c r="B12" s="33" t="s">
        <v>149</v>
      </c>
      <c r="C12" s="33" t="s">
        <v>58</v>
      </c>
      <c r="D12" s="33">
        <v>7</v>
      </c>
      <c r="E12" s="33">
        <v>85</v>
      </c>
      <c r="F12" s="33">
        <f t="shared" si="0"/>
        <v>595</v>
      </c>
      <c r="G12" s="34">
        <f t="shared" si="1"/>
        <v>59.5</v>
      </c>
      <c r="H12" s="28"/>
      <c r="I12" s="28"/>
      <c r="J12" s="28"/>
      <c r="K12" s="28"/>
      <c r="L12" s="37"/>
      <c r="M12" s="42">
        <f t="shared" si="3"/>
        <v>90</v>
      </c>
      <c r="N12" s="42">
        <f t="shared" si="4"/>
        <v>180</v>
      </c>
      <c r="O12" s="42">
        <f t="shared" si="5"/>
        <v>270</v>
      </c>
      <c r="P12" s="38"/>
      <c r="Q12" s="28"/>
      <c r="R12" s="28"/>
      <c r="S12" s="28"/>
      <c r="T12" s="28"/>
      <c r="U12" s="28"/>
      <c r="V12" s="28"/>
      <c r="W12" s="28"/>
      <c r="X12" s="28"/>
      <c r="Y12" s="28"/>
      <c r="Z12" s="28"/>
    </row>
    <row r="13" spans="1:26" ht="15" thickBot="1">
      <c r="A13" s="28"/>
      <c r="B13" s="28"/>
      <c r="C13" s="28"/>
      <c r="D13" s="28"/>
      <c r="E13" s="28"/>
      <c r="F13" s="28"/>
      <c r="G13" s="28"/>
      <c r="H13" s="28"/>
      <c r="I13" s="28"/>
      <c r="J13" s="28"/>
      <c r="K13" s="28"/>
      <c r="L13" s="37"/>
      <c r="M13" s="42">
        <f t="shared" si="3"/>
        <v>59.5</v>
      </c>
      <c r="N13" s="42">
        <f t="shared" si="4"/>
        <v>119</v>
      </c>
      <c r="O13" s="42">
        <f t="shared" si="5"/>
        <v>178.5</v>
      </c>
      <c r="P13" s="38"/>
      <c r="Q13" s="28"/>
      <c r="R13" s="28"/>
      <c r="S13" s="28"/>
      <c r="T13" s="28"/>
      <c r="U13" s="28"/>
      <c r="V13" s="28"/>
      <c r="W13" s="28"/>
      <c r="X13" s="28"/>
      <c r="Y13" s="28"/>
      <c r="Z13" s="28"/>
    </row>
    <row r="14" spans="1:26" ht="15" thickBot="1">
      <c r="A14" s="28"/>
      <c r="B14" s="28"/>
      <c r="C14" s="28"/>
      <c r="D14" s="28"/>
      <c r="E14" s="28"/>
      <c r="F14" s="28"/>
      <c r="G14" s="28"/>
      <c r="H14" s="28"/>
      <c r="I14" s="28"/>
      <c r="J14" s="28"/>
      <c r="K14" s="28"/>
      <c r="L14" s="37"/>
      <c r="M14" s="22"/>
      <c r="N14" s="22"/>
      <c r="O14" s="22"/>
      <c r="P14" s="38"/>
      <c r="Q14" s="28"/>
      <c r="R14" s="28"/>
      <c r="S14" s="28"/>
      <c r="T14" s="28"/>
      <c r="U14" s="28"/>
      <c r="V14" s="28"/>
      <c r="W14" s="28"/>
      <c r="X14" s="28"/>
      <c r="Y14" s="28"/>
      <c r="Z14" s="28"/>
    </row>
    <row r="15" spans="1:26" ht="15" thickBot="1">
      <c r="A15" s="28"/>
      <c r="B15" s="28"/>
      <c r="C15" s="28"/>
      <c r="D15" s="28"/>
      <c r="E15" s="28"/>
      <c r="F15" s="28"/>
      <c r="G15" s="28"/>
      <c r="H15" s="28"/>
      <c r="I15" s="28"/>
      <c r="J15" s="28"/>
      <c r="K15" s="28"/>
      <c r="L15" s="37"/>
      <c r="M15" s="22"/>
      <c r="N15" s="22"/>
      <c r="O15" s="22" t="s">
        <v>150</v>
      </c>
      <c r="P15" s="38"/>
      <c r="Q15" s="28"/>
      <c r="R15" s="28"/>
      <c r="S15" s="28"/>
      <c r="T15" s="28"/>
      <c r="U15" s="28"/>
      <c r="V15" s="28"/>
      <c r="W15" s="28"/>
      <c r="X15" s="28"/>
      <c r="Y15" s="28"/>
      <c r="Z15" s="28"/>
    </row>
    <row r="16" spans="1:26" ht="15" thickBot="1">
      <c r="A16" s="28"/>
      <c r="B16" s="28"/>
      <c r="C16" s="28"/>
      <c r="D16" s="28"/>
      <c r="E16" s="28"/>
      <c r="F16" s="28"/>
      <c r="G16" s="28"/>
      <c r="H16" s="28"/>
      <c r="I16" s="28"/>
      <c r="J16" s="28"/>
      <c r="K16" s="28"/>
      <c r="L16" s="28"/>
      <c r="M16" s="39"/>
      <c r="N16" s="39"/>
      <c r="O16" s="39"/>
      <c r="P16" s="28"/>
      <c r="Q16" s="28"/>
      <c r="R16" s="28"/>
      <c r="S16" s="28"/>
      <c r="T16" s="28"/>
      <c r="U16" s="28"/>
      <c r="V16" s="28"/>
      <c r="W16" s="28"/>
      <c r="X16" s="28"/>
      <c r="Y16" s="28"/>
      <c r="Z16" s="28"/>
    </row>
    <row r="17" spans="1:26" ht="15" thickBot="1">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spans="1:26" ht="15" thickBo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ht="15" thickBot="1">
      <c r="A19" s="36"/>
      <c r="B19" s="36"/>
      <c r="C19" s="36"/>
      <c r="D19" s="36"/>
      <c r="E19" s="65"/>
      <c r="F19" s="66"/>
      <c r="G19" s="67"/>
      <c r="H19" s="36"/>
      <c r="I19" s="28"/>
      <c r="J19" s="28"/>
      <c r="K19" s="28"/>
      <c r="L19" s="28"/>
      <c r="M19" s="28"/>
      <c r="N19" s="28"/>
      <c r="O19" s="28"/>
      <c r="P19" s="28"/>
      <c r="Q19" s="28"/>
      <c r="R19" s="28"/>
      <c r="S19" s="28"/>
      <c r="T19" s="28"/>
      <c r="U19" s="28"/>
      <c r="V19" s="28"/>
      <c r="W19" s="28"/>
      <c r="X19" s="28"/>
      <c r="Y19" s="28"/>
      <c r="Z19" s="28"/>
    </row>
    <row r="20" spans="1:26" ht="15" thickBot="1">
      <c r="A20" s="36"/>
      <c r="B20" s="36"/>
      <c r="C20" s="36"/>
      <c r="D20" s="36"/>
      <c r="E20" s="36"/>
      <c r="F20" s="36"/>
      <c r="G20" s="36"/>
      <c r="H20" s="36"/>
      <c r="I20" s="28"/>
      <c r="J20" s="28"/>
      <c r="K20" s="28"/>
      <c r="L20" s="28"/>
      <c r="M20" s="28"/>
      <c r="N20" s="28"/>
      <c r="O20" s="28"/>
      <c r="P20" s="28"/>
      <c r="Q20" s="28"/>
      <c r="R20" s="28"/>
      <c r="S20" s="28"/>
      <c r="T20" s="28"/>
      <c r="U20" s="28"/>
      <c r="V20" s="28"/>
      <c r="W20" s="28"/>
      <c r="X20" s="28"/>
      <c r="Y20" s="28"/>
      <c r="Z20" s="28"/>
    </row>
    <row r="21" spans="1:26" ht="15" thickBot="1">
      <c r="A21" s="36"/>
      <c r="B21" s="36"/>
      <c r="C21" s="36"/>
      <c r="D21" s="36"/>
      <c r="E21" s="36"/>
      <c r="F21" s="36"/>
      <c r="G21" s="36"/>
      <c r="H21" s="36"/>
      <c r="I21" s="28"/>
      <c r="J21" s="28"/>
      <c r="K21" s="28"/>
      <c r="L21" s="28"/>
      <c r="M21" s="28"/>
      <c r="N21" s="28"/>
      <c r="O21" s="28"/>
      <c r="P21" s="28"/>
      <c r="Q21" s="28"/>
      <c r="R21" s="28"/>
      <c r="S21" s="28"/>
      <c r="T21" s="28"/>
      <c r="U21" s="28"/>
      <c r="V21" s="28"/>
      <c r="W21" s="28"/>
      <c r="X21" s="28"/>
      <c r="Y21" s="28"/>
      <c r="Z21" s="28"/>
    </row>
    <row r="22" spans="1:26" ht="15" thickBot="1">
      <c r="A22" s="36"/>
      <c r="B22" s="36"/>
      <c r="C22" s="36"/>
      <c r="D22" s="36"/>
      <c r="E22" s="36"/>
      <c r="F22" s="36"/>
      <c r="G22" s="36"/>
      <c r="H22" s="36"/>
      <c r="I22" s="28"/>
      <c r="J22" s="28"/>
      <c r="K22" s="28"/>
      <c r="L22" s="28"/>
      <c r="M22" s="28"/>
      <c r="N22" s="28"/>
      <c r="O22" s="28"/>
      <c r="P22" s="28"/>
      <c r="Q22" s="28"/>
      <c r="R22" s="28"/>
      <c r="S22" s="28"/>
      <c r="T22" s="28"/>
      <c r="U22" s="28"/>
      <c r="V22" s="28"/>
      <c r="W22" s="28"/>
      <c r="X22" s="28"/>
      <c r="Y22" s="28"/>
      <c r="Z22" s="28"/>
    </row>
    <row r="23" spans="1:26" ht="15" thickBot="1">
      <c r="A23" s="36"/>
      <c r="B23" s="36"/>
      <c r="C23" s="36"/>
      <c r="D23" s="36"/>
      <c r="E23" s="36"/>
      <c r="F23" s="36"/>
      <c r="G23" s="36"/>
      <c r="H23" s="36"/>
      <c r="I23" s="28"/>
      <c r="J23" s="28"/>
      <c r="K23" s="28"/>
      <c r="L23" s="28"/>
      <c r="M23" s="28"/>
      <c r="N23" s="28"/>
      <c r="O23" s="28"/>
      <c r="P23" s="28"/>
      <c r="Q23" s="28"/>
      <c r="R23" s="28"/>
      <c r="S23" s="28"/>
      <c r="T23" s="28"/>
      <c r="U23" s="28"/>
      <c r="V23" s="28"/>
      <c r="W23" s="28"/>
      <c r="X23" s="28"/>
      <c r="Y23" s="28"/>
      <c r="Z23" s="28"/>
    </row>
    <row r="24" spans="1:26" ht="15" thickBot="1">
      <c r="A24" s="36"/>
      <c r="B24" s="36"/>
      <c r="C24" s="36"/>
      <c r="D24" s="36"/>
      <c r="E24" s="36"/>
      <c r="F24" s="36"/>
      <c r="G24" s="36"/>
      <c r="H24" s="36"/>
      <c r="I24" s="28"/>
      <c r="J24" s="28"/>
      <c r="K24" s="28"/>
      <c r="L24" s="28"/>
      <c r="M24" s="28"/>
      <c r="N24" s="28"/>
      <c r="O24" s="28"/>
      <c r="P24" s="28"/>
      <c r="Q24" s="28"/>
      <c r="R24" s="28"/>
      <c r="S24" s="28"/>
      <c r="T24" s="28"/>
      <c r="U24" s="28"/>
      <c r="V24" s="28"/>
      <c r="W24" s="28"/>
      <c r="X24" s="28"/>
      <c r="Y24" s="28"/>
      <c r="Z24" s="28"/>
    </row>
    <row r="25" spans="1:26" ht="15" thickBot="1">
      <c r="A25" s="36"/>
      <c r="B25" s="36"/>
      <c r="C25" s="36"/>
      <c r="D25" s="36"/>
      <c r="E25" s="36"/>
      <c r="F25" s="36"/>
      <c r="G25" s="36"/>
      <c r="H25" s="36"/>
      <c r="I25" s="28"/>
      <c r="J25" s="28"/>
      <c r="K25" s="28"/>
      <c r="L25" s="28"/>
      <c r="M25" s="28"/>
      <c r="N25" s="28"/>
      <c r="O25" s="28"/>
      <c r="P25" s="28"/>
      <c r="Q25" s="28"/>
      <c r="R25" s="28"/>
      <c r="S25" s="28"/>
      <c r="T25" s="28"/>
      <c r="U25" s="28"/>
      <c r="V25" s="28"/>
      <c r="W25" s="28"/>
      <c r="X25" s="28"/>
      <c r="Y25" s="28"/>
      <c r="Z25" s="28"/>
    </row>
    <row r="26" spans="1:26" ht="15" thickBot="1">
      <c r="A26" s="36"/>
      <c r="B26" s="36"/>
      <c r="C26" s="36"/>
      <c r="D26" s="36"/>
      <c r="E26" s="36"/>
      <c r="F26" s="36"/>
      <c r="G26" s="36"/>
      <c r="H26" s="36"/>
      <c r="I26" s="28"/>
      <c r="J26" s="28"/>
      <c r="K26" s="28"/>
      <c r="L26" s="28"/>
      <c r="M26" s="28"/>
      <c r="N26" s="28"/>
      <c r="O26" s="28"/>
      <c r="P26" s="28"/>
      <c r="Q26" s="28"/>
      <c r="R26" s="28"/>
      <c r="S26" s="28"/>
      <c r="T26" s="28"/>
      <c r="U26" s="28"/>
      <c r="V26" s="28"/>
      <c r="W26" s="28"/>
      <c r="X26" s="28"/>
      <c r="Y26" s="28"/>
      <c r="Z26" s="28"/>
    </row>
    <row r="27" spans="1:26" ht="15" thickBot="1">
      <c r="A27" s="36"/>
      <c r="B27" s="36"/>
      <c r="C27" s="36"/>
      <c r="D27" s="36"/>
      <c r="E27" s="36"/>
      <c r="F27" s="36"/>
      <c r="G27" s="36"/>
      <c r="H27" s="36"/>
      <c r="I27" s="28"/>
      <c r="J27" s="28"/>
      <c r="K27" s="28"/>
      <c r="L27" s="28"/>
      <c r="M27" s="28"/>
      <c r="N27" s="28"/>
      <c r="O27" s="28"/>
      <c r="P27" s="28"/>
      <c r="Q27" s="28"/>
      <c r="R27" s="28"/>
      <c r="S27" s="28"/>
      <c r="T27" s="28"/>
      <c r="U27" s="28"/>
      <c r="V27" s="28"/>
      <c r="W27" s="28"/>
      <c r="X27" s="28"/>
      <c r="Y27" s="28"/>
      <c r="Z27" s="28"/>
    </row>
    <row r="28" spans="1:26" ht="15" thickBo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5" thickBo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5" thickBo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5" thickBo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5" thickBo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5" thickBo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5" thickBo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5" thickBo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5" thickBo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5" thickBo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5" thickBo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5" thickBo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5" thickBo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5" thickBo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5" thickBo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5" thickBo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5" thickBo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5" thickBo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5" thickBo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5" thickBo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5" thickBo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5" thickBo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5" thickBo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5" thickBo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5" thickBo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5" thickBo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5" thickBo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5" thickBo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5" thickBo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5" thickBo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 thickBo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 thickBo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 thickBo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 thickBo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 thickBo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5" thickBo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5" thickBo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5" thickBo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5" thickBo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5" thickBo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5" thickBo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5" thickBo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5" thickBo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5" thickBo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5" thickBo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5" thickBo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5" thickBo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5" thickBo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5" thickBo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5" thickBo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5" thickBo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 thickBo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5" thickBo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5" thickBo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5" thickBo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5" thickBo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5" thickBo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5" thickBo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5" thickBo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5" thickBo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5" thickBo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5" thickBo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5" thickBo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5" thickBo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5" thickBo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5" thickBo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5" thickBo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5" thickBo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5" thickBo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5" thickBo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5" thickBo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5" thickBo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5" thickBo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5" thickBo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5" thickBo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5" thickBo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5" thickBo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5" thickBo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5" thickBo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5" thickBo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5" thickBo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5" thickBo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5" thickBo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5" thickBo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5" thickBo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5" thickBo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5" thickBo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5" thickBo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5" thickBo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5" thickBo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5" thickBo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5" thickBo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5" thickBo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5" thickBo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5" thickBo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5" thickBo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5" thickBo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5" thickBo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5" thickBo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5" thickBo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5" thickBo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5" thickBo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5" thickBo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5" thickBo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5" thickBo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5" thickBo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5" thickBo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5" thickBo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5" thickBo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5" thickBo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5" thickBo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5" thickBo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5" thickBo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5" thickBo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5" thickBo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5" thickBo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5" thickBo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5" thickBo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5" thickBo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5" thickBo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5" thickBo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5" thickBo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5" thickBo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5" thickBo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5" thickBo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5" thickBo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5" thickBo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5" thickBo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5" thickBo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5" thickBo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5" thickBo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5" thickBo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5" thickBo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5" thickBo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5" thickBo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5" thickBo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5" thickBo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5" thickBo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5" thickBo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5" thickBo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5" thickBo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 thickBo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 thickBo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 thickBo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 thickBo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 thickBo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5" thickBo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 thickBo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5" thickBo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5" thickBo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 thickBo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 thickBo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5" thickBo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5" thickBo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 thickBo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 thickBo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 thickBo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 thickBo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 thickBo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 thickBo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 thickBo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5" thickBo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5" thickBo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5" thickBo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5" thickBo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5" thickBo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5" thickBo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5" thickBo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5" thickBo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5" thickBo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5" thickBo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5" thickBo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 thickBo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5" thickBo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 thickBo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5" thickBo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5" thickBo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5" thickBo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5" thickBo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5" thickBo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5" thickBo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5" thickBo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5" thickBo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 thickBo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 thickBo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 thickBo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 thickBo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 thickBo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 thickBo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 thickBo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 thickBo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 thickBo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 thickBo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 thickBo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 thickBo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 thickBo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 thickBo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 thickBo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 thickBo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5" thickBo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5" thickBo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5" thickBo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5" thickBo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 thickBo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 thickBo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5" thickBo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5" thickBo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5" thickBo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5" thickBo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5" thickBo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5" thickBo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5" thickBo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 thickBo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5" thickBo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5" thickBo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 thickBo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5" thickBo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5" thickBo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5" thickBo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5" thickBo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5" thickBo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5" thickBo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5" thickBo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 thickBo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 thickBo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5" thickBo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5" thickBo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5" thickBo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5" thickBo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5" thickBo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5" thickBo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5" thickBo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5" thickBo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5" thickBo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5" thickBo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5" thickBo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5" thickBo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5" thickBo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5" thickBo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5" thickBo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5" thickBo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5" thickBo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5" thickBo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5" thickBo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5" thickBo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5" thickBo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5" thickBo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5" thickBo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5" thickBo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5" thickBo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5" thickBo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5" thickBo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5" thickBo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5" thickBo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5" thickBo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5" thickBo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5" thickBo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5" thickBo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5" thickBo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5" thickBo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5" thickBo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5" thickBo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5" thickBo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5" thickBo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5" thickBo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5" thickBo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5" thickBo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5" thickBo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5" thickBo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5" thickBo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5" thickBo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5" thickBo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5" thickBo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5" thickBo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5" thickBo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5" thickBo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5" thickBo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5" thickBo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5" thickBo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 thickBo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 thickBo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 thickBo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5" thickBo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5" thickBo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5" thickBo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5" thickBo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5" thickBo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5" thickBo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5" thickBo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5" thickBo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5" thickBo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5" thickBo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5" thickBo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5" thickBo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5" thickBo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5" thickBo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5" thickBo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5" thickBo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5" thickBo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5" thickBo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5" thickBo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5" thickBo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5" thickBo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5" thickBo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5" thickBo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5" thickBo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5" thickBo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5" thickBo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5" thickBo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5" thickBo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5" thickBo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5" thickBo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5" thickBo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5" thickBo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5" thickBo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5" thickBo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5" thickBo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5" thickBo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5" thickBo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5" thickBo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5" thickBo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5" thickBo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5" thickBo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5" thickBo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5" thickBo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5" thickBo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5" thickBo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5" thickBo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5" thickBo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5" thickBo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5" thickBo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5" thickBo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5" thickBo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5" thickBo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5" thickBo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5" thickBo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5" thickBo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5" thickBo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5" thickBo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5" thickBo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5" thickBo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5" thickBo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5" thickBo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5" thickBo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5" thickBo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5" thickBo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5" thickBo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5" thickBo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5" thickBo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5" thickBo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5" thickBo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5" thickBo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5" thickBo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5" thickBo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5" thickBo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5" thickBo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5" thickBo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5" thickBo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5" thickBo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5" thickBo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5" thickBo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5" thickBo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5" thickBo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5" thickBo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5" thickBo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5" thickBo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5" thickBo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5" thickBo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5" thickBo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5" thickBo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5" thickBo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5" thickBo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5" thickBo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5" thickBo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5" thickBo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5" thickBo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5" thickBo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5" thickBo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5" thickBo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5" thickBo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5" thickBo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5" thickBo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5" thickBo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5" thickBo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5" thickBo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5" thickBo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5" thickBo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5" thickBo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5" thickBo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5" thickBo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5" thickBo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5" thickBo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5" thickBo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5" thickBo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5" thickBo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5" thickBo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5" thickBo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5" thickBo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5" thickBo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5" thickBo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5" thickBo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5" thickBo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5" thickBo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5" thickBo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5" thickBo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5" thickBo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5" thickBo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5" thickBo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5" thickBo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5" thickBo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5" thickBo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5" thickBo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5" thickBo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5" thickBo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5" thickBo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5" thickBo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5" thickBo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5" thickBo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5" thickBo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5" thickBo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5" thickBo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5" thickBo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5" thickBo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5" thickBo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5" thickBo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5" thickBo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5" thickBo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5" thickBo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5" thickBo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5" thickBo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5" thickBo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5" thickBo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5" thickBo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5" thickBo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5" thickBo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5" thickBo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5" thickBo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5" thickBo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5" thickBo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5" thickBo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5" thickBo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5" thickBo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5" thickBo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5" thickBo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5" thickBo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5" thickBo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5" thickBo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5" thickBo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5" thickBo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5" thickBo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5" thickBo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5" thickBo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5" thickBo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5" thickBo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5" thickBo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5" thickBo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5" thickBo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5" thickBo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5" thickBo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5" thickBo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5" thickBo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5" thickBo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 thickBo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5" thickBo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5" thickBo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5" thickBo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5" thickBo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5" thickBo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5" thickBo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5" thickBo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5" thickBo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5" thickBo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5" thickBo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5" thickBo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5" thickBo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5" thickBo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5" thickBo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5" thickBo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5" thickBo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5" thickBo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5" thickBo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5" thickBo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5" thickBo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5" thickBo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5" thickBo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5" thickBo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5" thickBo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5" thickBo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5" thickBo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5" thickBo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5" thickBo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5" thickBo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5" thickBo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5" thickBo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5" thickBo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5" thickBo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5" thickBo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5" thickBo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5" thickBo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5" thickBo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5" thickBo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5" thickBo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5" thickBo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5" thickBo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5" thickBo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5" thickBo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5" thickBo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5" thickBo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5" thickBo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5" thickBo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5" thickBo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5" thickBo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5" thickBo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5" thickBo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5" thickBo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5" thickBo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5" thickBo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5" thickBo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5" thickBo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5" thickBo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5" thickBo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5" thickBo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5" thickBo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 thickBo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5" thickBo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5" thickBo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5" thickBo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5" thickBo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5" thickBo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5" thickBo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5" thickBo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5" thickBo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5" thickBo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5" thickBo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5" thickBo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5" thickBo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5" thickBo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5" thickBo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5" thickBo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5" thickBo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5" thickBo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5" thickBo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5" thickBo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5" thickBo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5" thickBo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5" thickBo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5" thickBo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5" thickBo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5" thickBo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5" thickBo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5" thickBo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5" thickBo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5" thickBo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5" thickBo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5" thickBo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5" thickBo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5" thickBo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5" thickBo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5" thickBo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5" thickBo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5" thickBo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5" thickBo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5" thickBo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5" thickBo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5" thickBo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5" thickBo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5" thickBo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5" thickBo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5" thickBo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5" thickBo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5" thickBo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5" thickBo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5" thickBo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5" thickBo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5" thickBo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5" thickBo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5" thickBo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5" thickBo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5" thickBo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5" thickBo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5" thickBo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5" thickBo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5" thickBo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5" thickBo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5" thickBo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5" thickBo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5" thickBo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5" thickBo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5" thickBo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5" thickBo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5" thickBo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5" thickBo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5" thickBo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5" thickBo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5" thickBo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5" thickBo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5" thickBo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5" thickBo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5" thickBo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5" thickBo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5" thickBo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5" thickBo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5" thickBo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5" thickBo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5" thickBo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5" thickBo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5" thickBo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5" thickBo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5" thickBo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5" thickBo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5" thickBo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5" thickBo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5" thickBo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5" thickBo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5" thickBo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5" thickBo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5" thickBo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5" thickBo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5" thickBo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5" thickBo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5" thickBo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5" thickBo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5" thickBo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5" thickBo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5" thickBo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5" thickBo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5" thickBo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5" thickBo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5" thickBo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5" thickBo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5" thickBo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5" thickBo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5" thickBo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5" thickBo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5" thickBo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5" thickBo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5" thickBo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5" thickBo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5" thickBo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5" thickBo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5" thickBo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5" thickBo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5" thickBo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5" thickBo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5" thickBo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5" thickBo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5" thickBo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5" thickBo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5" thickBo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5" thickBo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5" thickBo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5" thickBo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5" thickBo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5" thickBo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5" thickBo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5" thickBo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5" thickBo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5" thickBo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5" thickBo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5" thickBo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5" thickBo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5" thickBo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5" thickBo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5" thickBo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5" thickBo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5" thickBo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5" thickBo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5" thickBo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5" thickBo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5" thickBo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5" thickBo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5" thickBo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5" thickBo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5" thickBo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5" thickBo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5" thickBo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5" thickBo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5" thickBo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5" thickBo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5" thickBo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5" thickBo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5" thickBo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5" thickBo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5" thickBo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5" thickBo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5" thickBo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5" thickBo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5" thickBo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5" thickBo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5" thickBo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5" thickBo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5" thickBo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5" thickBo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5" thickBo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5" thickBo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5" thickBo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5" thickBo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5" thickBo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5" thickBo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5" thickBo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5" thickBo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5" thickBo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5" thickBo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5" thickBo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5" thickBo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5" thickBo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5" thickBo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5" thickBo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5" thickBo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5" thickBo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5" thickBo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5" thickBo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5" thickBo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5" thickBo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5" thickBo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5" thickBo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5" thickBo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5" thickBo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5" thickBo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5" thickBo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5" thickBo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5" thickBo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5" thickBo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5" thickBo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5" thickBo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5" thickBo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5" thickBo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5" thickBo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5" thickBo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5" thickBo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5" thickBo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5" thickBo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5" thickBo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5" thickBo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5" thickBo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5" thickBo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5" thickBo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5" thickBo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5" thickBo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5" thickBo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5" thickBo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5" thickBo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5" thickBo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5" thickBo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5" thickBo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5" thickBo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5" thickBo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5" thickBo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5" thickBo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5" thickBo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5" thickBo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5" thickBo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5" thickBo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5" thickBo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5" thickBo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5" thickBo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5" thickBo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5" thickBo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5" thickBo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5" thickBo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5" thickBo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5" thickBo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5" thickBo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5" thickBo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5" thickBo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5" thickBo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5" thickBo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5" thickBo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5" thickBo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5" thickBo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5" thickBo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5" thickBo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5" thickBo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5" thickBo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5" thickBo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5" thickBo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5" thickBo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5" thickBo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5" thickBo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5" thickBo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5" thickBo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5" thickBo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5" thickBo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5" thickBo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5" thickBo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5" thickBo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5" thickBo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5" thickBo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5" thickBo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5" thickBo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5" thickBo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5" thickBo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5" thickBo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5" thickBo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5" thickBo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5" thickBo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5" thickBo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5" thickBo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5" thickBo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5" thickBo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5" thickBo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5" thickBo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5" thickBo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5" thickBo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5" thickBo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5" thickBo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5" thickBo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5" thickBo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5" thickBo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5" thickBo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5" thickBo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5" thickBo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5" thickBo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5" thickBo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5" thickBo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5" thickBo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5" thickBo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5" thickBo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5" thickBo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5" thickBo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5" thickBo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5" thickBo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5" thickBo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5" thickBo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5" thickBo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5" thickBo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5" thickBo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5" thickBo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5" thickBo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5" thickBo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5" thickBo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5" thickBo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5" thickBo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5" thickBo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5" thickBo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5" thickBo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5" thickBo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5" thickBo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5" thickBo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5" thickBo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5" thickBo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5" thickBo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5" thickBo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5" thickBo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5" thickBo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5" thickBo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5" thickBo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5" thickBo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5" thickBo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5" thickBo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5" thickBo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5" thickBo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5" thickBo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5" thickBo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5" thickBo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5" thickBo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5" thickBo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5" thickBo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5" thickBo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5" thickBo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5" thickBo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5" thickBo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5" thickBo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5" thickBo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5" thickBo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5" thickBo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5" thickBo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5" thickBo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5" thickBo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5" thickBo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5" thickBo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5" thickBo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5" thickBo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5" thickBo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5" thickBo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5" thickBo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5" thickBo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5" thickBo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5" thickBo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5" thickBo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5" thickBo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5" thickBo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5" thickBo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5" thickBo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5" thickBo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5" thickBo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5" thickBo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5" thickBo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5" thickBo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5" thickBo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5" thickBo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5" thickBo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5" thickBo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5" thickBo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5" thickBo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5" thickBo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5" thickBo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5" thickBo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5" thickBo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5" thickBo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5" thickBo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5" thickBo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5" thickBo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5" thickBo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5" thickBo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5" thickBo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5" thickBo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5" thickBo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5" thickBo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5" thickBo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5" thickBo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5" thickBo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5" thickBo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5" thickBo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5" thickBo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5" thickBo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5" thickBo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5" thickBo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5" thickBo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5" thickBo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5" thickBo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5" thickBo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5" thickBo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5" thickBo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5" thickBo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5" thickBo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5" thickBo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 thickBo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5" thickBo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5" thickBo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 thickBo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5" thickBo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5" thickBo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5" thickBo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5" thickBo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5" thickBo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5" thickBo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5" thickBo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5" thickBo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5" thickBo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5" thickBo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5" thickBo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5" thickBo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5" thickBo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5" thickBo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5" thickBo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5" thickBo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5" thickBo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5" thickBo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5" thickBo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5" thickBo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5" thickBo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5" thickBo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5" thickBo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5" thickBo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5" thickBo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5" thickBo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5" thickBo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5" thickBo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5" thickBo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5" thickBo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5" thickBo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5" thickBo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5" thickBo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5" thickBo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5" thickBo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5" thickBo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5" thickBo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5" thickBo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5" thickBo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5" thickBo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5" thickBo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5" thickBo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2">
    <mergeCell ref="M4:O4"/>
    <mergeCell ref="E19:G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0542-4EB4-488F-9297-CA1FFBB82ED1}">
  <dimension ref="B7:C11"/>
  <sheetViews>
    <sheetView workbookViewId="0">
      <selection activeCell="B7" sqref="B7:C11"/>
    </sheetView>
  </sheetViews>
  <sheetFormatPr defaultRowHeight="14.5"/>
  <sheetData>
    <row r="7" spans="2:3">
      <c r="B7" s="22" t="s">
        <v>135</v>
      </c>
      <c r="C7" s="22" t="s">
        <v>151</v>
      </c>
    </row>
    <row r="8" spans="2:3">
      <c r="B8" s="22" t="s">
        <v>152</v>
      </c>
      <c r="C8">
        <v>100</v>
      </c>
    </row>
    <row r="9" spans="2:3">
      <c r="B9" s="22" t="s">
        <v>153</v>
      </c>
      <c r="C9">
        <v>200</v>
      </c>
    </row>
    <row r="10" spans="2:3">
      <c r="B10" s="22" t="s">
        <v>154</v>
      </c>
      <c r="C10">
        <v>300</v>
      </c>
    </row>
    <row r="11" spans="2:3">
      <c r="B11" s="22" t="s">
        <v>155</v>
      </c>
      <c r="C11">
        <v>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9DB4-66D0-4706-9054-B89E5B16938E}">
  <dimension ref="G2:H6"/>
  <sheetViews>
    <sheetView workbookViewId="0">
      <selection activeCell="G2" sqref="G2:H6"/>
    </sheetView>
  </sheetViews>
  <sheetFormatPr defaultRowHeight="14.5"/>
  <sheetData>
    <row r="2" spans="7:8">
      <c r="G2" s="22" t="s">
        <v>135</v>
      </c>
      <c r="H2" s="22" t="s">
        <v>151</v>
      </c>
    </row>
    <row r="3" spans="7:8">
      <c r="G3" s="22" t="s">
        <v>152</v>
      </c>
      <c r="H3">
        <v>800</v>
      </c>
    </row>
    <row r="4" spans="7:8">
      <c r="G4" s="22" t="s">
        <v>153</v>
      </c>
      <c r="H4">
        <v>900</v>
      </c>
    </row>
    <row r="5" spans="7:8">
      <c r="G5" s="22" t="s">
        <v>154</v>
      </c>
      <c r="H5">
        <v>1000</v>
      </c>
    </row>
    <row r="6" spans="7:8">
      <c r="G6" s="22" t="s">
        <v>155</v>
      </c>
      <c r="H6">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5FED-1799-43C9-8EBD-E3352B7031AC}">
  <dimension ref="A1"/>
  <sheetViews>
    <sheetView workbookViewId="0"/>
  </sheetViews>
  <sheetFormatPr defaultRowHeight="1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E2A7A-0028-4E47-8A69-2D3E9DDEF931}">
  <dimension ref="G2:H6"/>
  <sheetViews>
    <sheetView workbookViewId="0">
      <selection activeCell="I7" sqref="I7"/>
    </sheetView>
  </sheetViews>
  <sheetFormatPr defaultRowHeight="14.5"/>
  <sheetData>
    <row r="2" spans="7:8">
      <c r="G2" s="22" t="s">
        <v>135</v>
      </c>
      <c r="H2" s="22" t="s">
        <v>151</v>
      </c>
    </row>
    <row r="3" spans="7:8">
      <c r="G3" s="22" t="s">
        <v>152</v>
      </c>
      <c r="H3">
        <v>400</v>
      </c>
    </row>
    <row r="4" spans="7:8">
      <c r="G4" s="22" t="s">
        <v>153</v>
      </c>
      <c r="H4">
        <v>500</v>
      </c>
    </row>
    <row r="5" spans="7:8">
      <c r="G5" s="22" t="s">
        <v>154</v>
      </c>
      <c r="H5">
        <v>700</v>
      </c>
    </row>
    <row r="6" spans="7:8">
      <c r="G6" s="22" t="s">
        <v>155</v>
      </c>
      <c r="H6">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473C-72B3-49EC-A1A7-ED3C41173528}">
  <dimension ref="H3:J21"/>
  <sheetViews>
    <sheetView workbookViewId="0">
      <selection activeCell="J21" sqref="J21"/>
    </sheetView>
  </sheetViews>
  <sheetFormatPr defaultRowHeight="14.5" outlineLevelRow="1"/>
  <cols>
    <col min="8" max="8" width="11.54296875" customWidth="1"/>
    <col min="9" max="9" width="6.90625" customWidth="1"/>
  </cols>
  <sheetData>
    <row r="3" spans="8:10">
      <c r="H3">
        <f>SUM('May:july '!H3)</f>
        <v>1200</v>
      </c>
    </row>
    <row r="5" spans="8:10">
      <c r="H5" t="s">
        <v>135</v>
      </c>
      <c r="J5" t="s">
        <v>151</v>
      </c>
    </row>
    <row r="6" spans="8:10" hidden="1" outlineLevel="1">
      <c r="I6" t="s">
        <v>156</v>
      </c>
      <c r="J6">
        <f>'july '!$H$3</f>
        <v>400</v>
      </c>
    </row>
    <row r="7" spans="8:10" hidden="1" outlineLevel="1" collapsed="1">
      <c r="I7" t="s">
        <v>156</v>
      </c>
      <c r="J7">
        <f>June!$H$3</f>
        <v>800</v>
      </c>
    </row>
    <row r="8" spans="8:10" hidden="1" outlineLevel="1" collapsed="1">
      <c r="I8" t="s">
        <v>156</v>
      </c>
      <c r="J8">
        <f>May!$C$8</f>
        <v>100</v>
      </c>
    </row>
    <row r="9" spans="8:10" collapsed="1">
      <c r="H9" t="s">
        <v>152</v>
      </c>
      <c r="J9">
        <f>SUM(J6:J8)</f>
        <v>1300</v>
      </c>
    </row>
    <row r="10" spans="8:10" hidden="1" outlineLevel="1">
      <c r="I10" t="s">
        <v>156</v>
      </c>
      <c r="J10">
        <f>'july '!$H$4</f>
        <v>500</v>
      </c>
    </row>
    <row r="11" spans="8:10" hidden="1" outlineLevel="1" collapsed="1">
      <c r="I11" t="s">
        <v>156</v>
      </c>
      <c r="J11">
        <f>June!$H$4</f>
        <v>900</v>
      </c>
    </row>
    <row r="12" spans="8:10" hidden="1" outlineLevel="1" collapsed="1">
      <c r="I12" t="s">
        <v>156</v>
      </c>
      <c r="J12">
        <f>May!$C$9</f>
        <v>200</v>
      </c>
    </row>
    <row r="13" spans="8:10" collapsed="1">
      <c r="H13" t="s">
        <v>153</v>
      </c>
      <c r="J13">
        <f>SUM(J10:J12)</f>
        <v>1600</v>
      </c>
    </row>
    <row r="14" spans="8:10" hidden="1" outlineLevel="1">
      <c r="I14" t="s">
        <v>156</v>
      </c>
      <c r="J14">
        <f>'july '!$H$5</f>
        <v>700</v>
      </c>
    </row>
    <row r="15" spans="8:10" hidden="1" outlineLevel="1" collapsed="1">
      <c r="I15" t="s">
        <v>156</v>
      </c>
      <c r="J15">
        <f>June!$H$5</f>
        <v>1000</v>
      </c>
    </row>
    <row r="16" spans="8:10" hidden="1" outlineLevel="1" collapsed="1">
      <c r="I16" t="s">
        <v>156</v>
      </c>
      <c r="J16">
        <f>May!$C$10</f>
        <v>300</v>
      </c>
    </row>
    <row r="17" spans="8:10" collapsed="1">
      <c r="H17" t="s">
        <v>154</v>
      </c>
      <c r="J17">
        <f>SUM(J14:J16)</f>
        <v>2000</v>
      </c>
    </row>
    <row r="18" spans="8:10" hidden="1" outlineLevel="1">
      <c r="I18" t="s">
        <v>156</v>
      </c>
      <c r="J18">
        <f>'july '!$H$6</f>
        <v>100</v>
      </c>
    </row>
    <row r="19" spans="8:10" hidden="1" outlineLevel="1" collapsed="1">
      <c r="I19" t="s">
        <v>156</v>
      </c>
      <c r="J19">
        <f>June!$H$6</f>
        <v>500</v>
      </c>
    </row>
    <row r="20" spans="8:10" hidden="1" outlineLevel="1" collapsed="1">
      <c r="I20" t="s">
        <v>156</v>
      </c>
      <c r="J20">
        <f>May!$C$11</f>
        <v>400</v>
      </c>
    </row>
    <row r="21" spans="8:10" collapsed="1">
      <c r="H21" t="s">
        <v>155</v>
      </c>
      <c r="J21">
        <f>SUM(J18:J20)</f>
        <v>1000</v>
      </c>
    </row>
  </sheetData>
  <dataConsolidate topLabels="1" link="1">
    <dataRefs count="3">
      <dataRef ref="G2:H6" sheet="july "/>
      <dataRef ref="G2:H6" sheet="June"/>
      <dataRef ref="B7:C11" sheet="May"/>
    </dataRefs>
  </dataConsolid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758A-2A62-47BF-8643-CEF73C63C621}">
  <dimension ref="A1:Z1000"/>
  <sheetViews>
    <sheetView workbookViewId="0">
      <selection activeCell="J8" sqref="J8"/>
    </sheetView>
  </sheetViews>
  <sheetFormatPr defaultRowHeight="14.5"/>
  <sheetData>
    <row r="1" spans="1:26" ht="15" thickBot="1">
      <c r="A1" s="23"/>
      <c r="B1" s="24"/>
      <c r="C1" s="24"/>
      <c r="D1" s="24"/>
      <c r="E1" s="24"/>
      <c r="F1" s="24"/>
      <c r="G1" s="23"/>
      <c r="H1" s="23"/>
      <c r="I1" s="23"/>
      <c r="J1" s="23"/>
      <c r="K1" s="23"/>
      <c r="L1" s="23"/>
      <c r="M1" s="23"/>
      <c r="N1" s="23"/>
      <c r="O1" s="23"/>
      <c r="P1" s="23"/>
      <c r="Q1" s="23"/>
      <c r="R1" s="23"/>
      <c r="S1" s="23"/>
      <c r="T1" s="23"/>
      <c r="U1" s="23"/>
      <c r="V1" s="23"/>
      <c r="W1" s="23"/>
      <c r="X1" s="23"/>
      <c r="Y1" s="23"/>
      <c r="Z1" s="23"/>
    </row>
    <row r="2" spans="1:26" ht="15" thickBot="1">
      <c r="A2" s="25"/>
      <c r="B2" s="27"/>
      <c r="C2" s="26" t="s">
        <v>157</v>
      </c>
      <c r="D2" s="26" t="s">
        <v>158</v>
      </c>
      <c r="E2" s="26" t="s">
        <v>158</v>
      </c>
      <c r="F2" s="26" t="s">
        <v>159</v>
      </c>
      <c r="G2" s="23"/>
      <c r="H2" s="23"/>
      <c r="I2" s="23"/>
      <c r="J2" s="23"/>
      <c r="K2" s="23"/>
      <c r="L2" s="23"/>
      <c r="M2" s="23"/>
      <c r="N2" s="23"/>
      <c r="O2" s="23"/>
      <c r="P2" s="23"/>
      <c r="Q2" s="23"/>
      <c r="R2" s="23"/>
      <c r="S2" s="23"/>
      <c r="T2" s="23"/>
      <c r="U2" s="23"/>
      <c r="V2" s="23"/>
      <c r="W2" s="23"/>
      <c r="X2" s="23"/>
      <c r="Y2" s="23"/>
      <c r="Z2" s="23"/>
    </row>
    <row r="3" spans="1:26" ht="15" thickBot="1">
      <c r="A3" s="25"/>
      <c r="B3" s="26" t="s">
        <v>160</v>
      </c>
      <c r="C3" s="26">
        <v>500</v>
      </c>
      <c r="D3" s="26">
        <v>1500</v>
      </c>
      <c r="E3" s="26">
        <v>2000</v>
      </c>
      <c r="F3" s="26">
        <v>2354</v>
      </c>
      <c r="G3" s="23"/>
      <c r="H3" s="23"/>
      <c r="I3" s="23"/>
      <c r="J3" s="23"/>
      <c r="K3" s="23"/>
      <c r="L3" s="23"/>
      <c r="M3" s="23"/>
      <c r="N3" s="23"/>
      <c r="O3" s="23"/>
      <c r="P3" s="23"/>
      <c r="Q3" s="23"/>
      <c r="R3" s="23"/>
      <c r="S3" s="23"/>
      <c r="T3" s="23"/>
      <c r="U3" s="23"/>
      <c r="V3" s="23"/>
      <c r="W3" s="23"/>
      <c r="X3" s="23"/>
      <c r="Y3" s="23"/>
      <c r="Z3" s="23"/>
    </row>
    <row r="4" spans="1:26" ht="15" thickBot="1">
      <c r="A4" s="25"/>
      <c r="B4" s="26" t="s">
        <v>161</v>
      </c>
      <c r="C4" s="26">
        <v>7584</v>
      </c>
      <c r="D4" s="26">
        <v>4572</v>
      </c>
      <c r="E4" s="26">
        <v>4574</v>
      </c>
      <c r="F4" s="26">
        <v>4121</v>
      </c>
      <c r="G4" s="23"/>
      <c r="H4" s="23"/>
      <c r="I4" s="23"/>
      <c r="J4" s="23"/>
      <c r="K4" s="23"/>
      <c r="L4" s="23"/>
      <c r="M4" s="23"/>
      <c r="N4" s="23"/>
      <c r="O4" s="23"/>
      <c r="P4" s="23"/>
      <c r="Q4" s="23"/>
      <c r="R4" s="23"/>
      <c r="S4" s="23"/>
      <c r="T4" s="23"/>
      <c r="U4" s="23"/>
      <c r="V4" s="23"/>
      <c r="W4" s="23"/>
      <c r="X4" s="23"/>
      <c r="Y4" s="23"/>
      <c r="Z4" s="23"/>
    </row>
    <row r="5" spans="1:26" ht="15" thickBot="1">
      <c r="A5" s="25"/>
      <c r="B5" s="26" t="s">
        <v>162</v>
      </c>
      <c r="C5" s="26">
        <v>5784</v>
      </c>
      <c r="D5" s="26">
        <v>9457</v>
      </c>
      <c r="E5" s="26">
        <v>4247</v>
      </c>
      <c r="F5" s="26">
        <v>8451</v>
      </c>
      <c r="G5" s="23"/>
      <c r="H5" s="23"/>
      <c r="I5" s="23"/>
      <c r="J5" s="23"/>
      <c r="K5" s="23"/>
      <c r="L5" s="23"/>
      <c r="M5" s="23"/>
      <c r="N5" s="23"/>
      <c r="O5" s="23"/>
      <c r="P5" s="23"/>
      <c r="Q5" s="23"/>
      <c r="R5" s="23"/>
      <c r="S5" s="23"/>
      <c r="T5" s="23"/>
      <c r="U5" s="23"/>
      <c r="V5" s="23"/>
      <c r="W5" s="23"/>
      <c r="X5" s="23"/>
      <c r="Y5" s="23"/>
      <c r="Z5" s="23"/>
    </row>
    <row r="6" spans="1:26" ht="15" thickBot="1">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5" thickBot="1">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15" thickBot="1">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15" thickBot="1">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5" thickBo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5" thickBo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5" thickBo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5" thickBo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5" thickBo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5" thickBo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5" thickBo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5" thickBo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5" thickBo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5" thickBo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5" thickBo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5" thickBo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5" thickBo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5" thickBo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 thickBo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5" thickBo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5" thickBo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5" thickBo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5" thickBo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5" thickBo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 thickBo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5" thickBo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5" thickBo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5" thickBo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5" thickBo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5" thickBo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5" thickBo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5" thickBo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5" thickBo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5" thickBo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5" thickBo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5" thickBo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5" thickBo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5" thickBo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5" thickBo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5" thickBo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5" thickBo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5" thickBo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5" thickBo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5" thickBo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5" thickBo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5" thickBo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5" thickBo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5" thickBo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5" thickBo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5" thickBo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5" thickBo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5" thickBo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5" thickBo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5" thickBo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5" thickBo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 thickBo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5" thickBo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5" thickBo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5" thickBo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5" thickBo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5" thickBo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5" thickBo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5" thickBo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5" thickBo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5" thickBo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5" thickBo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5" thickBo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5" thickBo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5" thickBo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5" thickBo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5" thickBo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5" thickBo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5" thickBo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5" thickBo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5" thickBo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5" thickBo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5" thickBo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5" thickBo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5" thickBo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5" thickBo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5" thickBo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5" thickBo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5" thickBo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5" thickBo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5" thickBo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5" thickBo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5" thickBo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5" thickBo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5" thickBo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5" thickBo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5" thickBo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5" thickBo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5" thickBo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5" thickBo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5" thickBo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 thickBo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 thickBo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 thickBo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 thickBo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 thickBo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 thickBo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 thickBo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 thickBo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 thickBo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 thickBo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 thickBo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 thickBo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 thickBo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 thickBo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 thickBo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 thickBo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 thickBo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 thickBo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 thickBo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 thickBo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 thickBo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5" thickBo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 thickBo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 thickBo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 thickBo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 thickBo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 thickBo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 thickBo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 thickBo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 thickBo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5" thickBo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 thickBo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5" thickBo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5" thickBo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5" thickBo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 thickBo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 thickBo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 thickBo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 thickBo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 thickBo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 thickBo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 thickBo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 thickBo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 thickBo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 thickBo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 thickBo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 thickBo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 thickBo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 thickBo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 thickBo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 thickBo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 thickBo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 thickBo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 thickBo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 thickBo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 thickBo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 thickBo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 thickBo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 thickBo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 thickBo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 thickBo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 thickBo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 thickBo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 thickBo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 thickBo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 thickBo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 thickBo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 thickBo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 thickBo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 thickBo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 thickBo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 thickBo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 thickBo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 thickBo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 thickBo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 thickBo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 thickBo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 thickBo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 thickBo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 thickBo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 thickBo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 thickBo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 thickBo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 thickBo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 thickBo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 thickBo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 thickBo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 thickBo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 thickBo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 thickBo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 thickBo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 thickBo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 thickBo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 thickBo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 thickBo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 thickBo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 thickBo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 thickBo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 thickBo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 thickBo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 thickBo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 thickBo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 thickBo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 thickBo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 thickBo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 thickBo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 thickBo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 thickBo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 thickBo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 thickBo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 thickBo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 thickBo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 thickBo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 thickBo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 thickBo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 thickBo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 thickBo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 thickBo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 thickBo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 thickBo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 thickBo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 thickBo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 thickBo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 thickBo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 thickBo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 thickBo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 thickBo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 thickBo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 thickBo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 thickBo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 thickBo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 thickBo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 thickBo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 thickBo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 thickBo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 thickBo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 thickBo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 thickBo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 thickBo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 thickBo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 thickBo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 thickBo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 thickBo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 thickBo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 thickBo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 thickBo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 thickBo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 thickBo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 thickBo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 thickBo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 thickBo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 thickBo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 thickBo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 thickBo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 thickBo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 thickBo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 thickBo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 thickBo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 thickBo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 thickBo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 thickBo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 thickBo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 thickBo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 thickBo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 thickBo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 thickBo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 thickBo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 thickBo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 thickBo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 thickBo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 thickBo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 thickBo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 thickBo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 thickBo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 thickBo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 thickBo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 thickBo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 thickBo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 thickBo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 thickBo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 thickBo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 thickBo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 thickBo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 thickBo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 thickBo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 thickBo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 thickBo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 thickBo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 thickBo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 thickBo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 thickBo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 thickBo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 thickBo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 thickBo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 thickBo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 thickBo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 thickBo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 thickBo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 thickBo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 thickBo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 thickBo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 thickBo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 thickBo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 thickBo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 thickBo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 thickBo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 thickBo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 thickBo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 thickBo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 thickBo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 thickBo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 thickBo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 thickBo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 thickBo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 thickBo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 thickBo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 thickBo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 thickBo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 thickBo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 thickBo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 thickBo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 thickBo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 thickBo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 thickBo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 thickBo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 thickBo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 thickBo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 thickBo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 thickBo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 thickBo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 thickBo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 thickBo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 thickBo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 thickBo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 thickBo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 thickBo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 thickBo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 thickBo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 thickBo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 thickBo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 thickBo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 thickBo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 thickBo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 thickBo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 thickBo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 thickBo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 thickBo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 thickBo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 thickBo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 thickBo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 thickBo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 thickBo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 thickBo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 thickBo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 thickBo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 thickBo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 thickBo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 thickBo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 thickBo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 thickBo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 thickBo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 thickBo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 thickBo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 thickBo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 thickBo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 thickBo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 thickBo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 thickBo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 thickBo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 thickBo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 thickBo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 thickBo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 thickBo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 thickBo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 thickBo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 thickBo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 thickBo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 thickBo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 thickBo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 thickBo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 thickBo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 thickBo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 thickBo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 thickBo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 thickBo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 thickBo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 thickBo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 thickBo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 thickBo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 thickBo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 thickBo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 thickBo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 thickBo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 thickBo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 thickBo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 thickBo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 thickBo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 thickBo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 thickBo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 thickBo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 thickBo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 thickBo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 thickBo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 thickBo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 thickBo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 thickBo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 thickBo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 thickBo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 thickBo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 thickBo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 thickBo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 thickBo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 thickBo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 thickBo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 thickBo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 thickBo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 thickBo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 thickBo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 thickBo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 thickBo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 thickBo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 thickBo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 thickBo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 thickBo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 thickBo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 thickBo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 thickBo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 thickBo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 thickBo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 thickBo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 thickBo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 thickBo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 thickBo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 thickBo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 thickBo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 thickBo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 thickBo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 thickBo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 thickBo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 thickBo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 thickBo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 thickBo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 thickBo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 thickBo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 thickBo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 thickBo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 thickBo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 thickBo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 thickBo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 thickBo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 thickBo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 thickBo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 thickBo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 thickBo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 thickBo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 thickBo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 thickBo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 thickBo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 thickBo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 thickBo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 thickBo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 thickBo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 thickBo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 thickBo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 thickBo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 thickBo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 thickBo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 thickBo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 thickBo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 thickBo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 thickBo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 thickBo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 thickBo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 thickBo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 thickBo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 thickBo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 thickBo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 thickBo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 thickBo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 thickBo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 thickBo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 thickBo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 thickBo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 thickBo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 thickBo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 thickBo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 thickBo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 thickBo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 thickBo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 thickBo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 thickBo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 thickBo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 thickBo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 thickBo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 thickBo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 thickBo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 thickBo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 thickBo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 thickBo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 thickBo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 thickBo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 thickBo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 thickBo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 thickBo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 thickBo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 thickBo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 thickBo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 thickBo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 thickBo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 thickBo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 thickBo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 thickBo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 thickBo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 thickBo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 thickBo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 thickBo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 thickBo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 thickBo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 thickBo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 thickBo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 thickBo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 thickBo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 thickBo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 thickBo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 thickBo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 thickBo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 thickBo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 thickBo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 thickBo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 thickBo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 thickBo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 thickBo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 thickBo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 thickBo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 thickBo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 thickBo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 thickBo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 thickBo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 thickBo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 thickBo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 thickBo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 thickBo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 thickBo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 thickBo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 thickBo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 thickBo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 thickBo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 thickBo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 thickBo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 thickBo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 thickBo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 thickBo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 thickBo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 thickBo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 thickBo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 thickBo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 thickBo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 thickBo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 thickBo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 thickBo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 thickBo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 thickBo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 thickBo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 thickBo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 thickBo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 thickBo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 thickBo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 thickBo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 thickBo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 thickBo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 thickBo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 thickBo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 thickBo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 thickBo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 thickBo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 thickBo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 thickBo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 thickBo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 thickBo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 thickBo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 thickBo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 thickBo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 thickBo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 thickBo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 thickBo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 thickBo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 thickBo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 thickBo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 thickBo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 thickBo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 thickBo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 thickBo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 thickBo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 thickBo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 thickBo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 thickBo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 thickBo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 thickBo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 thickBo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 thickBo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 thickBo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 thickBo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 thickBo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 thickBo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 thickBo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 thickBo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 thickBo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 thickBo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 thickBo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 thickBo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 thickBo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 thickBo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 thickBo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 thickBo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 thickBo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 thickBo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 thickBo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 thickBo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 thickBo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 thickBo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 thickBo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 thickBo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 thickBo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 thickBo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 thickBo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 thickBo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 thickBo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 thickBo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 thickBo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 thickBo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 thickBo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 thickBo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 thickBo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 thickBo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 thickBo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 thickBo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 thickBo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 thickBo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 thickBo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 thickBo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 thickBo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 thickBo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 thickBo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 thickBo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 thickBo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 thickBo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 thickBo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 thickBo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 thickBo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 thickBo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 thickBo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 thickBo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 thickBo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 thickBo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 thickBo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 thickBo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 thickBo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 thickBo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 thickBo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 thickBo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 thickBo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 thickBo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 thickBo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 thickBo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 thickBo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 thickBo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 thickBo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 thickBo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 thickBo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 thickBo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 thickBo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 thickBo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 thickBo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 thickBo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 thickBo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 thickBo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 thickBo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 thickBo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 thickBo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 thickBo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 thickBo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 thickBo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 thickBo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 thickBo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 thickBo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 thickBo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 thickBo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 thickBo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 thickBo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 thickBo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 thickBo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 thickBo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 thickBo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 thickBo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 thickBo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 thickBo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 thickBo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 thickBo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 thickBo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 thickBo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 thickBo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 thickBo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 thickBo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 thickBo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 thickBo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 thickBo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 thickBo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 thickBo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 thickBo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 thickBo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 thickBo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 thickBo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 thickBo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 thickBo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 thickBo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 thickBo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 thickBo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 thickBo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 thickBo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 thickBo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 thickBo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 thickBo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 thickBo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 thickBo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 thickBo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 thickBo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 thickBo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 thickBo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 thickBo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 thickBo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 thickBo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 thickBo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 thickBo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 thickBo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 thickBo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 thickBo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 thickBo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 thickBo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 thickBo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 thickBo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 thickBo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 thickBo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 thickBo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 thickBo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 thickBo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 thickBo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 thickBo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 thickBo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 thickBo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 thickBo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 thickBo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 thickBo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 thickBo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 thickBo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 thickBo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 thickBo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 thickBo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 thickBo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 thickBo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 thickBo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 thickBo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 thickBo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 thickBo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 thickBo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 thickBo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 thickBo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 thickBo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 thickBo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 thickBo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 thickBo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 thickBo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 thickBo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 thickBo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 thickBo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 thickBo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 thickBo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 thickBo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 thickBo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 thickBo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 thickBo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 thickBo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 thickBo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 thickBo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 thickBo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 thickBo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 thickBo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 thickBo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 thickBo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 thickBo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 thickBo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 thickBo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 thickBo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 thickBo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 thickBo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 thickBo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 thickBo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 thickBo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 thickBo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 thickBo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 thickBo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 thickBo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 thickBo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 thickBo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 thickBo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 thickBo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 thickBo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 thickBo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 thickBo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 thickBo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 thickBo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 thickBo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 thickBo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 thickBo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 thickBo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 thickBo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 thickBo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 thickBo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 thickBo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 thickBo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 thickBo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 thickBo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 thickBo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 thickBo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 thickBo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 thickBo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 thickBo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 thickBo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 thickBo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 thickBo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 thickBo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 thickBo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 thickBo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 thickBo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 thickBo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 thickBo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 thickBo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 thickBo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 thickBo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 thickBo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 thickBo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 thickBo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 thickBo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 thickBo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 thickBo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 thickBo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 thickBo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 thickBo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 thickBo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 thickBo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 thickBo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 thickBo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 thickBo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 thickBo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 thickBo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 thickBo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 thickBo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 thickBo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 thickBo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 thickBo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 thickBo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 thickBo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 thickBo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 thickBo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 thickBo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 thickBo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 thickBo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 thickBo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 thickBo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 thickBo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 thickBo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 thickBo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 thickBo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 thickBo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 thickBo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 thickBo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 thickBo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 thickBo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 thickBo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 thickBo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 thickBo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 thickBo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 thickBo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 thickBo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 thickBo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 thickBo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 thickBo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 thickBo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 thickBo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 thickBo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 thickBo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 thickBo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 thickBo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 thickBo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 thickBo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 thickBo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 thickBo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 thickBo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 thickBo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 thickBo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 thickBo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 thickBo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 thickBo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 thickBo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 thickBo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 thickBo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 thickBo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 thickBo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 thickBo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 thickBo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 thickBo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 thickBo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 thickBo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 thickBo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 thickBo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 thickBo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 thickBo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 thickBo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 thickBo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 thickBo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 thickBo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 thickBo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 thickBo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 thickBo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 thickBo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 thickBo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 thickBo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 thickBo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 thickBo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 thickBo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 thickBo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 thickBo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 thickBo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 thickBo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 thickBo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 thickBo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 thickBo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 thickBo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 thickBo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 thickBo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 thickBo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 thickBo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 thickBo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 thickBo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 thickBo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 thickBo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 thickBo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 thickBo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 thickBo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 thickBo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 thickBo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 thickBo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 thickBo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 thickBo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 thickBo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 thickBo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 thickBo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 thickBo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 thickBo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 thickBo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 thickBo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 thickBo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 thickBo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 thickBo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 thickBo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 thickBo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 thickBo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 thickBo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 thickBo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 thickBo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 thickBo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 thickBo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 thickBo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 thickBo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 thickBo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 thickBo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 thickBo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 thickBo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 thickBo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 thickBo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 thickBo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 thickBo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 thickBo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 thickBo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 thickBo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 thickBo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 thickBo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 thickBo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 thickBo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 thickBo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 thickBo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 thickBo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 thickBo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 thickBo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 thickBo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 thickBo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 thickBo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 thickBo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 thickBo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 thickBo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 thickBo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ataConsolidate topLabels="1">
    <dataRefs count="1">
      <dataRef ref="B2:F5" sheet=" May1"/>
    </dataRefs>
  </dataConsolid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1EBE-A218-408A-89AD-64464036BEFB}">
  <dimension ref="A1:Z1000"/>
  <sheetViews>
    <sheetView workbookViewId="0">
      <selection activeCell="K17" sqref="K17"/>
    </sheetView>
  </sheetViews>
  <sheetFormatPr defaultRowHeight="14.5"/>
  <sheetData>
    <row r="1" spans="1:26" ht="15" thickBot="1">
      <c r="A1" s="23"/>
      <c r="B1" s="24"/>
      <c r="C1" s="24"/>
      <c r="D1" s="24"/>
      <c r="E1" s="24"/>
      <c r="F1" s="24"/>
      <c r="G1" s="23"/>
      <c r="H1" s="23"/>
      <c r="I1" s="23"/>
      <c r="J1" s="23"/>
      <c r="K1" s="23"/>
      <c r="L1" s="23"/>
      <c r="M1" s="23"/>
      <c r="N1" s="23"/>
      <c r="O1" s="23"/>
      <c r="P1" s="23"/>
      <c r="Q1" s="23"/>
      <c r="R1" s="23"/>
      <c r="S1" s="23"/>
      <c r="T1" s="23"/>
      <c r="U1" s="23"/>
      <c r="V1" s="23"/>
      <c r="W1" s="23"/>
      <c r="X1" s="23"/>
      <c r="Y1" s="23"/>
      <c r="Z1" s="23"/>
    </row>
    <row r="2" spans="1:26" ht="15" thickBot="1">
      <c r="A2" s="25"/>
      <c r="B2" s="27"/>
      <c r="C2" s="26" t="s">
        <v>157</v>
      </c>
      <c r="D2" s="26" t="s">
        <v>158</v>
      </c>
      <c r="E2" s="26" t="s">
        <v>158</v>
      </c>
      <c r="F2" s="26" t="s">
        <v>159</v>
      </c>
      <c r="G2" s="23"/>
      <c r="H2" s="23"/>
      <c r="I2" s="23"/>
      <c r="J2" s="23"/>
      <c r="K2" s="23"/>
      <c r="L2" s="23"/>
      <c r="M2" s="23"/>
      <c r="N2" s="23"/>
      <c r="O2" s="23"/>
      <c r="P2" s="23"/>
      <c r="Q2" s="23"/>
      <c r="R2" s="23"/>
      <c r="S2" s="23"/>
      <c r="T2" s="23"/>
      <c r="U2" s="23"/>
      <c r="V2" s="23"/>
      <c r="W2" s="23"/>
      <c r="X2" s="23"/>
      <c r="Y2" s="23"/>
      <c r="Z2" s="23"/>
    </row>
    <row r="3" spans="1:26" ht="15" thickBot="1">
      <c r="A3" s="25"/>
      <c r="B3" s="26" t="s">
        <v>160</v>
      </c>
      <c r="C3" s="26">
        <v>5784</v>
      </c>
      <c r="D3" s="26">
        <v>8945</v>
      </c>
      <c r="E3" s="26">
        <v>7421</v>
      </c>
      <c r="F3" s="26">
        <v>6541</v>
      </c>
      <c r="G3" s="23"/>
      <c r="H3" s="23"/>
      <c r="I3" s="23"/>
      <c r="J3" s="23"/>
      <c r="K3" s="23"/>
      <c r="L3" s="23"/>
      <c r="M3" s="23"/>
      <c r="N3" s="23"/>
      <c r="O3" s="23"/>
      <c r="P3" s="23"/>
      <c r="Q3" s="23"/>
      <c r="R3" s="23"/>
      <c r="S3" s="23"/>
      <c r="T3" s="23"/>
      <c r="U3" s="23"/>
      <c r="V3" s="23"/>
      <c r="W3" s="23"/>
      <c r="X3" s="23"/>
      <c r="Y3" s="23"/>
      <c r="Z3" s="23"/>
    </row>
    <row r="4" spans="1:26" ht="15" thickBot="1">
      <c r="A4" s="25"/>
      <c r="B4" s="26" t="s">
        <v>161</v>
      </c>
      <c r="C4" s="26">
        <v>3254</v>
      </c>
      <c r="D4" s="26">
        <v>5647</v>
      </c>
      <c r="E4" s="26">
        <v>4517</v>
      </c>
      <c r="F4" s="26">
        <v>4257</v>
      </c>
      <c r="G4" s="23"/>
      <c r="H4" s="23"/>
      <c r="I4" s="23"/>
      <c r="J4" s="23"/>
      <c r="K4" s="23"/>
      <c r="L4" s="23"/>
      <c r="M4" s="23"/>
      <c r="N4" s="23"/>
      <c r="O4" s="23"/>
      <c r="P4" s="23"/>
      <c r="Q4" s="23"/>
      <c r="R4" s="23"/>
      <c r="S4" s="23"/>
      <c r="T4" s="23"/>
      <c r="U4" s="23"/>
      <c r="V4" s="23"/>
      <c r="W4" s="23"/>
      <c r="X4" s="23"/>
      <c r="Y4" s="23"/>
      <c r="Z4" s="23"/>
    </row>
    <row r="5" spans="1:26" ht="15" thickBot="1">
      <c r="A5" s="25"/>
      <c r="B5" s="26" t="s">
        <v>162</v>
      </c>
      <c r="C5" s="26">
        <v>7584</v>
      </c>
      <c r="D5" s="26">
        <v>2223</v>
      </c>
      <c r="E5" s="26">
        <v>2547</v>
      </c>
      <c r="F5" s="26">
        <v>4581</v>
      </c>
      <c r="G5" s="23"/>
      <c r="H5" s="23"/>
      <c r="I5" s="23"/>
      <c r="J5" s="23"/>
      <c r="K5" s="23"/>
      <c r="L5" s="23"/>
      <c r="M5" s="23"/>
      <c r="N5" s="23"/>
      <c r="O5" s="23"/>
      <c r="P5" s="23"/>
      <c r="Q5" s="23"/>
      <c r="R5" s="23"/>
      <c r="S5" s="23"/>
      <c r="T5" s="23"/>
      <c r="U5" s="23"/>
      <c r="V5" s="23"/>
      <c r="W5" s="23"/>
      <c r="X5" s="23"/>
      <c r="Y5" s="23"/>
      <c r="Z5" s="23"/>
    </row>
    <row r="6" spans="1:26" ht="15" thickBot="1">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5" thickBot="1">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15" thickBot="1">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15" thickBot="1">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5" thickBo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5" thickBo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5" thickBo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5" thickBo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5" thickBo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5" thickBo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5" thickBo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5" thickBo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5" thickBo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5" thickBo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5" thickBo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5" thickBo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5" thickBo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5" thickBo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 thickBo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5" thickBo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5" thickBo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5" thickBo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5" thickBo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5" thickBo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 thickBo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5" thickBo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5" thickBo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5" thickBo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5" thickBo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5" thickBo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5" thickBo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5" thickBo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5" thickBo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5" thickBo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5" thickBo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5" thickBo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5" thickBo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5" thickBo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5" thickBo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5" thickBo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5" thickBo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5" thickBo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5" thickBo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5" thickBo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5" thickBo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5" thickBo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5" thickBo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5" thickBo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5" thickBo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5" thickBo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5" thickBo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5" thickBo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5" thickBo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5" thickBo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5" thickBo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 thickBo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5" thickBo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5" thickBo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5" thickBo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5" thickBo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5" thickBo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5" thickBo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5" thickBo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5" thickBo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5" thickBo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5" thickBo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5" thickBo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5" thickBo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5" thickBo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5" thickBo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5" thickBo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5" thickBo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5" thickBo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5" thickBo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5" thickBo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5" thickBo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5" thickBo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5" thickBo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5" thickBo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5" thickBo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5" thickBo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5" thickBo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5" thickBo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5" thickBo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5" thickBo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5" thickBo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5" thickBo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5" thickBo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5" thickBo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5" thickBo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5" thickBo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5" thickBo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5" thickBo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5" thickBo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5" thickBo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 thickBo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 thickBo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 thickBo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 thickBo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 thickBo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 thickBo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 thickBo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 thickBo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 thickBo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 thickBo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 thickBo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 thickBo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 thickBo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 thickBo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 thickBo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 thickBo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 thickBo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 thickBo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 thickBo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 thickBo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 thickBo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5" thickBo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 thickBo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 thickBo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 thickBo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 thickBo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 thickBo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 thickBo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 thickBo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 thickBo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5" thickBo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 thickBo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5" thickBo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5" thickBo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5" thickBo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 thickBo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 thickBo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 thickBo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 thickBo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 thickBo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 thickBo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 thickBo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 thickBo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 thickBo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 thickBo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 thickBo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 thickBo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 thickBo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 thickBo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 thickBo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 thickBo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 thickBo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 thickBo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 thickBo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 thickBo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 thickBo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 thickBo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 thickBo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 thickBo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 thickBo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 thickBo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 thickBo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 thickBo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 thickBo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 thickBo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 thickBo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 thickBo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 thickBo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 thickBo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 thickBo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 thickBo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 thickBo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 thickBo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 thickBo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 thickBo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 thickBo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 thickBo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 thickBo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 thickBo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 thickBo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 thickBo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 thickBo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 thickBo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 thickBo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 thickBo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 thickBo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 thickBo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 thickBo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 thickBo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 thickBo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 thickBo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 thickBo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 thickBo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 thickBo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 thickBo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 thickBo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 thickBo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 thickBo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 thickBo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 thickBo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 thickBo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 thickBo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 thickBo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 thickBo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 thickBo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 thickBo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 thickBo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 thickBo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 thickBo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 thickBo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 thickBo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 thickBo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 thickBo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 thickBo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 thickBo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 thickBo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 thickBo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 thickBo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 thickBo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 thickBo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 thickBo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 thickBo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 thickBo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 thickBo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 thickBo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 thickBo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 thickBo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 thickBo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 thickBo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 thickBo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 thickBo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 thickBo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 thickBo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 thickBo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 thickBo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 thickBo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 thickBo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 thickBo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 thickBo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 thickBo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 thickBo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 thickBo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 thickBo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 thickBo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 thickBo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 thickBo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 thickBo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 thickBo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 thickBo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 thickBo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 thickBo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 thickBo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 thickBo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 thickBo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 thickBo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 thickBo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 thickBo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 thickBo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 thickBo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 thickBo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 thickBo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 thickBo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 thickBo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 thickBo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 thickBo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 thickBo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 thickBo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 thickBo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 thickBo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 thickBo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 thickBo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 thickBo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 thickBo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 thickBo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 thickBo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 thickBo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 thickBo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 thickBo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 thickBo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 thickBo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 thickBo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 thickBo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 thickBo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 thickBo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 thickBo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 thickBo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 thickBo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 thickBo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 thickBo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 thickBo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 thickBo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 thickBo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 thickBo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 thickBo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 thickBo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 thickBo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 thickBo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 thickBo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 thickBo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 thickBo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 thickBo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 thickBo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 thickBo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 thickBo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 thickBo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 thickBo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 thickBo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 thickBo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 thickBo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 thickBo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 thickBo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 thickBo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 thickBo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 thickBo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 thickBo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 thickBo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 thickBo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 thickBo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 thickBo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 thickBo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 thickBo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 thickBo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 thickBo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 thickBo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 thickBo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 thickBo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 thickBo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 thickBo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 thickBo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 thickBo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 thickBo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 thickBo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 thickBo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 thickBo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 thickBo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 thickBo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 thickBo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 thickBo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 thickBo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 thickBo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 thickBo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 thickBo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 thickBo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 thickBo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 thickBo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 thickBo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 thickBo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 thickBo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 thickBo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 thickBo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 thickBo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 thickBo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 thickBo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 thickBo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 thickBo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 thickBo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 thickBo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 thickBo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 thickBo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 thickBo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 thickBo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 thickBo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 thickBo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 thickBo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 thickBo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 thickBo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 thickBo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 thickBo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 thickBo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 thickBo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 thickBo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 thickBo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 thickBo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 thickBo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 thickBo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 thickBo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 thickBo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 thickBo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 thickBo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 thickBo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 thickBo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 thickBo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 thickBo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 thickBo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 thickBo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 thickBo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 thickBo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 thickBo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 thickBo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 thickBo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 thickBo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 thickBo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 thickBo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 thickBo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 thickBo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 thickBo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 thickBo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 thickBo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 thickBo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 thickBo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 thickBo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 thickBo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 thickBo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 thickBo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 thickBo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 thickBo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 thickBo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 thickBo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 thickBo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 thickBo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 thickBo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 thickBo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 thickBo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 thickBo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 thickBo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 thickBo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 thickBo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 thickBo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 thickBo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 thickBo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 thickBo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 thickBo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 thickBo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 thickBo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 thickBo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 thickBo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 thickBo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 thickBo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 thickBo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 thickBo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 thickBo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 thickBo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 thickBo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 thickBo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 thickBo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 thickBo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 thickBo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 thickBo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 thickBo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 thickBo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 thickBo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 thickBo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 thickBo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 thickBo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 thickBo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 thickBo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 thickBo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 thickBo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 thickBo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 thickBo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 thickBo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 thickBo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 thickBo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 thickBo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 thickBo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 thickBo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 thickBo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 thickBo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 thickBo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 thickBo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 thickBo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 thickBo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 thickBo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 thickBo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 thickBo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 thickBo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 thickBo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 thickBo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 thickBo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 thickBo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 thickBo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 thickBo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 thickBo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 thickBo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 thickBo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 thickBo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 thickBo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 thickBo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 thickBo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 thickBo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 thickBo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 thickBo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 thickBo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 thickBo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 thickBo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 thickBo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 thickBo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 thickBo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 thickBo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 thickBo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 thickBo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 thickBo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 thickBo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 thickBo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 thickBo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 thickBo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 thickBo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 thickBo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 thickBo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 thickBo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 thickBo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 thickBo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 thickBo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 thickBo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 thickBo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 thickBo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 thickBo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 thickBo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 thickBo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 thickBo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 thickBo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 thickBo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 thickBo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 thickBo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 thickBo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 thickBo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 thickBo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 thickBo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 thickBo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 thickBo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 thickBo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 thickBo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 thickBo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 thickBo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 thickBo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 thickBo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 thickBo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 thickBo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 thickBo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 thickBo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 thickBo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 thickBo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 thickBo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 thickBo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 thickBo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 thickBo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 thickBo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 thickBo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 thickBo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 thickBo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 thickBo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 thickBo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 thickBo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 thickBo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 thickBo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 thickBo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 thickBo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 thickBo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 thickBo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 thickBo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 thickBo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 thickBo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 thickBo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 thickBo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 thickBo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 thickBo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 thickBo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 thickBo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 thickBo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 thickBo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 thickBo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 thickBo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 thickBo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 thickBo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 thickBo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 thickBo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 thickBo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 thickBo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 thickBo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 thickBo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 thickBo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 thickBo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 thickBo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 thickBo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 thickBo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 thickBo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 thickBo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 thickBo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 thickBo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 thickBo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 thickBo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 thickBo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 thickBo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 thickBo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 thickBo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 thickBo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 thickBo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 thickBo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 thickBo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 thickBo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 thickBo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 thickBo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 thickBo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 thickBo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 thickBo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 thickBo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 thickBo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 thickBo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 thickBo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 thickBo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 thickBo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 thickBo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 thickBo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 thickBo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 thickBo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 thickBo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 thickBo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 thickBo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 thickBo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 thickBo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 thickBo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 thickBo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 thickBo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 thickBo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 thickBo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 thickBo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 thickBo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 thickBo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 thickBo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 thickBo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 thickBo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 thickBo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 thickBo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 thickBo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 thickBo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 thickBo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 thickBo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 thickBo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 thickBo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 thickBo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 thickBo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 thickBo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 thickBo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 thickBo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 thickBo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 thickBo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 thickBo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 thickBo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 thickBo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 thickBo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 thickBo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 thickBo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 thickBo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 thickBo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 thickBo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 thickBo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 thickBo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 thickBo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 thickBo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 thickBo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 thickBo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 thickBo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 thickBo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 thickBo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 thickBo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 thickBo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 thickBo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 thickBo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 thickBo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 thickBo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 thickBo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 thickBo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 thickBo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 thickBo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 thickBo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 thickBo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 thickBo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 thickBo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 thickBo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 thickBo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 thickBo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 thickBo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 thickBo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 thickBo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 thickBo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 thickBo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 thickBo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 thickBo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 thickBo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 thickBo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 thickBo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 thickBo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 thickBo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 thickBo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 thickBo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 thickBo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 thickBo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 thickBo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 thickBo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 thickBo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 thickBo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 thickBo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 thickBo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 thickBo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 thickBo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 thickBo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 thickBo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 thickBo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 thickBo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 thickBo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 thickBo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 thickBo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 thickBo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 thickBo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 thickBo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 thickBo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 thickBo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 thickBo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 thickBo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 thickBo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 thickBo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 thickBo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 thickBo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 thickBo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 thickBo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 thickBo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 thickBo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 thickBo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 thickBo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 thickBo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 thickBo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 thickBo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 thickBo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 thickBo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 thickBo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 thickBo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 thickBo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 thickBo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 thickBo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 thickBo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 thickBo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 thickBo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 thickBo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 thickBo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 thickBo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 thickBo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 thickBo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 thickBo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 thickBo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 thickBo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 thickBo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 thickBo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 thickBo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 thickBo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 thickBo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 thickBo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 thickBo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 thickBo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 thickBo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 thickBo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 thickBo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 thickBo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 thickBo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 thickBo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 thickBo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 thickBo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 thickBo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 thickBo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 thickBo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 thickBo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 thickBo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 thickBo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 thickBo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 thickBo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 thickBo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 thickBo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 thickBo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 thickBo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 thickBo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 thickBo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 thickBo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 thickBo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 thickBo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 thickBo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 thickBo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 thickBo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 thickBo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 thickBo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 thickBo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 thickBo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 thickBo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 thickBo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 thickBo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 thickBo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 thickBo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 thickBo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 thickBo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 thickBo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 thickBo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 thickBo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 thickBo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 thickBo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 thickBo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 thickBo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 thickBo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 thickBo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 thickBo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 thickBo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 thickBo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 thickBo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 thickBo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 thickBo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 thickBo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 thickBo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 thickBo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 thickBo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 thickBo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 thickBo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 thickBo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 thickBo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 thickBo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 thickBo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 thickBo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 thickBo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 thickBo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 thickBo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 thickBo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 thickBo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 thickBo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 thickBo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 thickBo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 thickBo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 thickBo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 thickBo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 thickBo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 thickBo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 thickBo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 thickBo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 thickBo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 thickBo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 thickBo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 thickBo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 thickBo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 thickBo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 thickBo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 thickBo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 thickBo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 thickBo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 thickBo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 thickBo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 thickBo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 thickBo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 thickBo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 thickBo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 thickBo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 thickBo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 thickBo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 thickBo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 thickBo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 thickBo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 thickBo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 thickBo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 thickBo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 thickBo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 thickBo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 thickBo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 thickBo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 thickBo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 thickBo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 thickBo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 thickBo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 thickBo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 thickBo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 thickBo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 thickBo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 thickBo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 thickBo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 thickBo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 thickBo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 thickBo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 thickBo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 thickBo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 thickBo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 thickBo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 thickBo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 thickBo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 thickBo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 thickBo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 thickBo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 thickBo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 thickBo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 thickBo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 thickBo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 thickBo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 thickBo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 thickBo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 thickBo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 thickBo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 thickBo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 thickBo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 thickBo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 thickBo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 thickBo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 thickBo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 thickBo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 thickBo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 thickBo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 thickBo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 thickBo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 thickBo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 thickBo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 thickBo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 thickBo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 thickBo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 thickBo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 thickBo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 thickBo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 thickBo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 thickBo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 thickBo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 thickBo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 thickBo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 thickBo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 thickBo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 thickBo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 thickBo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 thickBo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 thickBo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 thickBo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 thickBo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 thickBo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 thickBo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 thickBo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 thickBo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 thickBo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 thickBo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 thickBo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 thickBo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 thickBo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 thickBo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 thickBo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 thickBo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 thickBo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 thickBo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 thickBo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 thickBo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 thickBo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 thickBo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 thickBo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 thickBo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 thickBo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 thickBo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 thickBo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 thickBo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 thickBo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 thickBo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 thickBo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 thickBo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 thickBo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 thickBo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 thickBo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 thickBo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 thickBo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 thickBo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 thickBo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 thickBo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 thickBo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 thickBo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 thickBo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 thickBo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 thickBo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 thickBo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 thickBo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 thickBo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 thickBo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 thickBo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 thickBo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 thickBo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 thickBo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 thickBo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 thickBo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 thickBo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 thickBo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 thickBo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 thickBo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 thickBo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 thickBo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 thickBo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 thickBo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 thickBo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 thickBo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 thickBo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 thickBo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 thickBo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 thickBo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 thickBo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 thickBo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 thickBo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 thickBo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 thickBo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 thickBo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 thickBo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 thickBo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 thickBo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 thickBo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 thickBo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 thickBo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 thickBo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 thickBo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 thickBo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B717-98C5-4E4F-B743-2402D48C053B}">
  <dimension ref="A1:Z1000"/>
  <sheetViews>
    <sheetView workbookViewId="0">
      <selection activeCell="H13" sqref="H13"/>
    </sheetView>
  </sheetViews>
  <sheetFormatPr defaultRowHeight="14.5"/>
  <sheetData>
    <row r="1" spans="1:26" ht="15" thickBot="1">
      <c r="A1" s="23"/>
      <c r="B1" s="24"/>
      <c r="C1" s="24"/>
      <c r="D1" s="24"/>
      <c r="E1" s="24"/>
      <c r="F1" s="24"/>
      <c r="G1" s="23"/>
      <c r="H1" s="23"/>
      <c r="I1" s="23"/>
      <c r="J1" s="23"/>
      <c r="K1" s="23"/>
      <c r="L1" s="23"/>
      <c r="M1" s="23"/>
      <c r="N1" s="23"/>
      <c r="O1" s="23"/>
      <c r="P1" s="23"/>
      <c r="Q1" s="23"/>
      <c r="R1" s="23"/>
      <c r="S1" s="23"/>
      <c r="T1" s="23"/>
      <c r="U1" s="23"/>
      <c r="V1" s="23"/>
      <c r="W1" s="23"/>
      <c r="X1" s="23"/>
      <c r="Y1" s="23"/>
      <c r="Z1" s="23"/>
    </row>
    <row r="2" spans="1:26" ht="15" thickBot="1">
      <c r="A2" s="25"/>
      <c r="B2" s="27"/>
      <c r="C2" s="26" t="s">
        <v>157</v>
      </c>
      <c r="D2" s="26" t="s">
        <v>158</v>
      </c>
      <c r="E2" s="26" t="s">
        <v>158</v>
      </c>
      <c r="F2" s="26" t="s">
        <v>159</v>
      </c>
      <c r="G2" s="23"/>
      <c r="H2" s="23"/>
      <c r="I2" s="23"/>
      <c r="J2" s="23"/>
      <c r="K2" s="23"/>
      <c r="L2" s="23"/>
      <c r="M2" s="23"/>
      <c r="N2" s="23"/>
      <c r="O2" s="23"/>
      <c r="P2" s="23"/>
      <c r="Q2" s="23"/>
      <c r="R2" s="23"/>
      <c r="S2" s="23"/>
      <c r="T2" s="23"/>
      <c r="U2" s="23"/>
      <c r="V2" s="23"/>
      <c r="W2" s="23"/>
      <c r="X2" s="23"/>
      <c r="Y2" s="23"/>
      <c r="Z2" s="23"/>
    </row>
    <row r="3" spans="1:26" ht="15" thickBot="1">
      <c r="A3" s="25"/>
      <c r="B3" s="26" t="s">
        <v>160</v>
      </c>
      <c r="C3" s="26">
        <v>4574</v>
      </c>
      <c r="D3" s="26">
        <v>2545</v>
      </c>
      <c r="E3" s="26">
        <v>6542</v>
      </c>
      <c r="F3" s="26">
        <v>2152</v>
      </c>
      <c r="G3" s="23"/>
      <c r="H3" s="23"/>
      <c r="I3" s="23"/>
      <c r="J3" s="23"/>
      <c r="K3" s="23"/>
      <c r="L3" s="23"/>
      <c r="M3" s="23"/>
      <c r="N3" s="23"/>
      <c r="O3" s="23"/>
      <c r="P3" s="23"/>
      <c r="Q3" s="23"/>
      <c r="R3" s="23"/>
      <c r="S3" s="23"/>
      <c r="T3" s="23"/>
      <c r="U3" s="23"/>
      <c r="V3" s="23"/>
      <c r="W3" s="23"/>
      <c r="X3" s="23"/>
      <c r="Y3" s="23"/>
      <c r="Z3" s="23"/>
    </row>
    <row r="4" spans="1:26" ht="15" thickBot="1">
      <c r="A4" s="25"/>
      <c r="B4" s="26" t="s">
        <v>161</v>
      </c>
      <c r="C4" s="26">
        <v>4578</v>
      </c>
      <c r="D4" s="26">
        <v>3251</v>
      </c>
      <c r="E4" s="26">
        <v>4565</v>
      </c>
      <c r="F4" s="26">
        <v>6541</v>
      </c>
      <c r="G4" s="23"/>
      <c r="H4" s="23"/>
      <c r="I4" s="23"/>
      <c r="J4" s="23"/>
      <c r="K4" s="23"/>
      <c r="L4" s="23"/>
      <c r="M4" s="23"/>
      <c r="N4" s="23"/>
      <c r="O4" s="23"/>
      <c r="P4" s="23"/>
      <c r="Q4" s="23"/>
      <c r="R4" s="23"/>
      <c r="S4" s="23"/>
      <c r="T4" s="23"/>
      <c r="U4" s="23"/>
      <c r="V4" s="23"/>
      <c r="W4" s="23"/>
      <c r="X4" s="23"/>
      <c r="Y4" s="23"/>
      <c r="Z4" s="23"/>
    </row>
    <row r="5" spans="1:26" ht="15" thickBot="1">
      <c r="A5" s="25"/>
      <c r="B5" s="26" t="s">
        <v>162</v>
      </c>
      <c r="C5" s="26">
        <v>5842</v>
      </c>
      <c r="D5" s="26">
        <v>7894</v>
      </c>
      <c r="E5" s="26">
        <v>6541</v>
      </c>
      <c r="F5" s="26">
        <v>5241</v>
      </c>
      <c r="G5" s="23"/>
      <c r="H5" s="23"/>
      <c r="I5" s="23"/>
      <c r="J5" s="23"/>
      <c r="K5" s="23"/>
      <c r="L5" s="23"/>
      <c r="M5" s="23"/>
      <c r="N5" s="23"/>
      <c r="O5" s="23"/>
      <c r="P5" s="23"/>
      <c r="Q5" s="23"/>
      <c r="R5" s="23"/>
      <c r="S5" s="23"/>
      <c r="T5" s="23"/>
      <c r="U5" s="23"/>
      <c r="V5" s="23"/>
      <c r="W5" s="23"/>
      <c r="X5" s="23"/>
      <c r="Y5" s="23"/>
      <c r="Z5" s="23"/>
    </row>
    <row r="6" spans="1:26" ht="15" thickBot="1">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5" thickBot="1">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15" thickBot="1">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15" thickBot="1">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5" thickBo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5" thickBo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5" thickBo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5" thickBo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5" thickBo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5" thickBo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5" thickBo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5" thickBo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5" thickBo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5" thickBo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5" thickBo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5" thickBo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5" thickBo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5" thickBo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5" thickBo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5" thickBo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5" thickBo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5" thickBo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5" thickBo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5" thickBo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5" thickBo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5" thickBo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5" thickBo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5" thickBo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5" thickBo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5" thickBo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5" thickBo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5" thickBo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5" thickBo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5" thickBo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5" thickBo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5" thickBo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5" thickBo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5" thickBo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5" thickBo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5" thickBo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5" thickBo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5" thickBo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5" thickBo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5" thickBo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5" thickBo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5" thickBo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5" thickBo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5" thickBo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5" thickBo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5" thickBo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5" thickBo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5" thickBo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5" thickBo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5" thickBo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5" thickBo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5" thickBo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5" thickBo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5" thickBo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5" thickBo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5" thickBo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5" thickBo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5" thickBo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5" thickBo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5" thickBo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5" thickBo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5" thickBo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5" thickBo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5" thickBo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5" thickBo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5" thickBo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5" thickBo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5" thickBo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5" thickBo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5" thickBo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5" thickBo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5" thickBo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5" thickBo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5" thickBo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5" thickBo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5" thickBo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5" thickBo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5" thickBo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5" thickBo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5" thickBo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5" thickBo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5" thickBo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5" thickBo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5" thickBo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5" thickBo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5" thickBo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5" thickBo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5" thickBo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5" thickBo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5" thickBo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5" thickBo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5" thickBo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5" thickBo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5" thickBo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5" thickBo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5" thickBo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 thickBo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 thickBo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5" thickBo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5" thickBo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5" thickBo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5" thickBo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5" thickBo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5" thickBo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5" thickBo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5" thickBo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5" thickBo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5" thickBo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5" thickBo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5" thickBo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5" thickBo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5" thickBo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5" thickBo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5" thickBo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5" thickBo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5" thickBo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5" thickBo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5" thickBo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5" thickBo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5" thickBo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5" thickBo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5" thickBo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5" thickBo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5" thickBo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5" thickBo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5" thickBo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5" thickBo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5" thickBo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5" thickBo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5" thickBo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5" thickBo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5" thickBo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5" thickBo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5" thickBo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5" thickBo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5" thickBo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5" thickBo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5" thickBo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5" thickBo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5" thickBo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5" thickBo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5" thickBo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5" thickBo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5" thickBo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5" thickBo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5" thickBo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5" thickBo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5" thickBo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5" thickBo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5" thickBo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5" thickBo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5" thickBo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5" thickBo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5" thickBo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5" thickBo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5" thickBo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5" thickBo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5" thickBo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5" thickBo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5" thickBo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5" thickBo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5" thickBo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5" thickBo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5" thickBo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5" thickBo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5" thickBo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5" thickBo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5" thickBo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5" thickBo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5" thickBo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5" thickBo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5" thickBo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5" thickBo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5" thickBo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5" thickBo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5" thickBo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5" thickBo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5" thickBo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5" thickBo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5" thickBo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5" thickBo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5" thickBo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5" thickBo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5" thickBo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5" thickBo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5" thickBo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5" thickBo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5" thickBo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5" thickBo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5" thickBo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5" thickBo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5" thickBo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5" thickBo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5" thickBo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5" thickBo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5" thickBo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5" thickBo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5" thickBo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5" thickBo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5" thickBo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5" thickBo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5" thickBo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5" thickBo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5" thickBo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5" thickBo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5" thickBo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5" thickBo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5" thickBo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5" thickBo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5" thickBo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5" thickBo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5" thickBo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5" thickBo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5" thickBo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5" thickBo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5" thickBo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5" thickBo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5" thickBo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5" thickBo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5" thickBo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5" thickBo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5" thickBo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5" thickBo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5" thickBo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5" thickBo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5" thickBo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5" thickBo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5" thickBo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5" thickBo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5" thickBo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5" thickBo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5" thickBo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5" thickBo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5" thickBo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5" thickBo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5" thickBo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5" thickBo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5" thickBo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5" thickBo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5" thickBo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5" thickBo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5" thickBo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5" thickBo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5" thickBo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5" thickBo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5" thickBo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5" thickBo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5" thickBo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5" thickBo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5" thickBo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5" thickBo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5" thickBo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5" thickBo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5" thickBo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5" thickBo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5" thickBo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5" thickBo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5" thickBo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5" thickBo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5" thickBo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5" thickBo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5" thickBo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5" thickBo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5" thickBo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5" thickBo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5" thickBo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5" thickBo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5" thickBo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5" thickBo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5" thickBo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5" thickBo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5" thickBo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5" thickBo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5" thickBo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5" thickBo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5" thickBo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5" thickBo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5" thickBo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5" thickBo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5" thickBo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5" thickBo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5" thickBo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5" thickBo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5" thickBo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5" thickBo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5" thickBo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5" thickBo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5" thickBo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5" thickBo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 thickBo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 thickBo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 thickBo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 thickBo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 thickBo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 thickBo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 thickBo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 thickBo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 thickBo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 thickBo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 thickBo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 thickBo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 thickBo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 thickBo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 thickBo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 thickBo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 thickBo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 thickBo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 thickBo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 thickBo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 thickBo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 thickBo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 thickBo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 thickBo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 thickBo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 thickBo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 thickBo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 thickBo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 thickBo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 thickBo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 thickBo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 thickBo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 thickBo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 thickBo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 thickBo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 thickBo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 thickBo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 thickBo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 thickBo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 thickBo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 thickBo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 thickBo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 thickBo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 thickBo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 thickBo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 thickBo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 thickBo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 thickBo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 thickBo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 thickBo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 thickBo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 thickBo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 thickBo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 thickBo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 thickBo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 thickBo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 thickBo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 thickBo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 thickBo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 thickBo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 thickBo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 thickBo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 thickBo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 thickBo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 thickBo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 thickBo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 thickBo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 thickBo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 thickBo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 thickBo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 thickBo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 thickBo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 thickBo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 thickBo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 thickBo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 thickBo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 thickBo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 thickBo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 thickBo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 thickBo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 thickBo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 thickBo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 thickBo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 thickBo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 thickBo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 thickBo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 thickBo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 thickBo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 thickBo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 thickBo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 thickBo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 thickBo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 thickBo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 thickBo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 thickBo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 thickBo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 thickBo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 thickBo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 thickBo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 thickBo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 thickBo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 thickBo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 thickBo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 thickBo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 thickBo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 thickBo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 thickBo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 thickBo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 thickBo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 thickBo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 thickBo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 thickBo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 thickBo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 thickBo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 thickBo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 thickBo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 thickBo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 thickBo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 thickBo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 thickBo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 thickBo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 thickBo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 thickBo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 thickBo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 thickBo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 thickBo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 thickBo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 thickBo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 thickBo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 thickBo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 thickBo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 thickBo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 thickBo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 thickBo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 thickBo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 thickBo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 thickBo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 thickBo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 thickBo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 thickBo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 thickBo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 thickBo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 thickBo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 thickBo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 thickBo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 thickBo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 thickBo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 thickBo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 thickBo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 thickBo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 thickBo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 thickBo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 thickBo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 thickBo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 thickBo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 thickBo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 thickBo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 thickBo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 thickBo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 thickBo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 thickBo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 thickBo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 thickBo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 thickBo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 thickBo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 thickBo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 thickBo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 thickBo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 thickBo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 thickBo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 thickBo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 thickBo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 thickBo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 thickBo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 thickBo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 thickBo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 thickBo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 thickBo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 thickBo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 thickBo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 thickBo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 thickBo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 thickBo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 thickBo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 thickBo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 thickBo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 thickBo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 thickBo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 thickBo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 thickBo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 thickBo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 thickBo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 thickBo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 thickBo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 thickBo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 thickBo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 thickBo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 thickBo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 thickBo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 thickBo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 thickBo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 thickBo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 thickBo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 thickBo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 thickBo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 thickBo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 thickBo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 thickBo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 thickBo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 thickBo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 thickBo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 thickBo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 thickBo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 thickBo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 thickBo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 thickBo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 thickBo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 thickBo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 thickBo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 thickBo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 thickBo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 thickBo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 thickBo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 thickBo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 thickBo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 thickBo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 thickBo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 thickBo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 thickBo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 thickBo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 thickBo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 thickBo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 thickBo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 thickBo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 thickBo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 thickBo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 thickBo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 thickBo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 thickBo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 thickBo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 thickBo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 thickBo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 thickBo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 thickBo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 thickBo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 thickBo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 thickBo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 thickBo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 thickBo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 thickBo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 thickBo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 thickBo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 thickBo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 thickBo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 thickBo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 thickBo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 thickBo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 thickBo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 thickBo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 thickBo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 thickBo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 thickBo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 thickBo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 thickBo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 thickBo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 thickBo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 thickBo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 thickBo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 thickBo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 thickBo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 thickBo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 thickBo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 thickBo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 thickBo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 thickBo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 thickBo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 thickBo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 thickBo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 thickBo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 thickBo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 thickBo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 thickBo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 thickBo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 thickBo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 thickBo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 thickBo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 thickBo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 thickBo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 thickBo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 thickBo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 thickBo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 thickBo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 thickBo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 thickBo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 thickBo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 thickBo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 thickBo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 thickBo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 thickBo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 thickBo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 thickBo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 thickBo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 thickBo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 thickBo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 thickBo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 thickBo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 thickBo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 thickBo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 thickBo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 thickBo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 thickBo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 thickBo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 thickBo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 thickBo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 thickBo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 thickBo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 thickBo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 thickBo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 thickBo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 thickBo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 thickBo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 thickBo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 thickBo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 thickBo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 thickBo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 thickBo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 thickBo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 thickBo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 thickBo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 thickBo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 thickBo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 thickBo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 thickBo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 thickBo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 thickBo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 thickBo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 thickBo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 thickBo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 thickBo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 thickBo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 thickBo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 thickBo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 thickBo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 thickBo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 thickBo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 thickBo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 thickBo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 thickBo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 thickBo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 thickBo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 thickBo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 thickBo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 thickBo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 thickBo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 thickBo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 thickBo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 thickBo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 thickBo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 thickBo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 thickBo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 thickBo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 thickBo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 thickBo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 thickBo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 thickBo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 thickBo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 thickBo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 thickBo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 thickBo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 thickBo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 thickBo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 thickBo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 thickBo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 thickBo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 thickBo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 thickBo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 thickBo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 thickBo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 thickBo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 thickBo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 thickBo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 thickBo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 thickBo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 thickBo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 thickBo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 thickBo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 thickBo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 thickBo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 thickBo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 thickBo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 thickBo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 thickBo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 thickBo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 thickBo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 thickBo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 thickBo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 thickBo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 thickBo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 thickBo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 thickBo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 thickBo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 thickBo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 thickBo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 thickBo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 thickBo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 thickBo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 thickBo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 thickBo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 thickBo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 thickBo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 thickBo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 thickBo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 thickBo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 thickBo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 thickBo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 thickBo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 thickBo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 thickBo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 thickBo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 thickBo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 thickBo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 thickBo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 thickBo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 thickBo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 thickBo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 thickBo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 thickBo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 thickBo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 thickBo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 thickBo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 thickBo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 thickBo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 thickBo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 thickBo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 thickBo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 thickBo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 thickBo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 thickBo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 thickBo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 thickBo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 thickBo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 thickBo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 thickBo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 thickBo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 thickBo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 thickBo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 thickBo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 thickBo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 thickBo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 thickBo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 thickBo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 thickBo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 thickBo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 thickBo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 thickBo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 thickBo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 thickBo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 thickBo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 thickBo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 thickBo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 thickBo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 thickBo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 thickBo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 thickBo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 thickBo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 thickBo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 thickBo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 thickBo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 thickBo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 thickBo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 thickBo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 thickBo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 thickBo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 thickBo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 thickBo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 thickBo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 thickBo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 thickBo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 thickBo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 thickBo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 thickBo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 thickBo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 thickBo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 thickBo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 thickBo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 thickBo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 thickBo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 thickBo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 thickBo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 thickBo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 thickBo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 thickBo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 thickBo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 thickBo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 thickBo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 thickBo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 thickBo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 thickBo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 thickBo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 thickBo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 thickBo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 thickBo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 thickBo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 thickBo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 thickBo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 thickBo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 thickBo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 thickBo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 thickBo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 thickBo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 thickBo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 thickBo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 thickBo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 thickBo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 thickBo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 thickBo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 thickBo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 thickBo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 thickBo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 thickBo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 thickBo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 thickBo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 thickBo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 thickBo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 thickBo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 thickBo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 thickBo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 thickBo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 thickBo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 thickBo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 thickBo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 thickBo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 thickBo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 thickBo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 thickBo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 thickBo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 thickBo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 thickBo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 thickBo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 thickBo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 thickBo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 thickBo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 thickBo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 thickBo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 thickBo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 thickBo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 thickBo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 thickBo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 thickBo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 thickBo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 thickBo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 thickBo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 thickBo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 thickBo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 thickBo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 thickBo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 thickBo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 thickBo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 thickBo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 thickBo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 thickBo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 thickBo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 thickBo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 thickBo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 thickBo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 thickBo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 thickBo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 thickBo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 thickBo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 thickBo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 thickBo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 thickBo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 thickBo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 thickBo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 thickBo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 thickBo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 thickBo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 thickBo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 thickBo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 thickBo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 thickBo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 thickBo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 thickBo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 thickBo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 thickBo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 thickBo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 thickBo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 thickBo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 thickBo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 thickBo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 thickBo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 thickBo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 thickBo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 thickBo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 thickBo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 thickBo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 thickBo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 thickBo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 thickBo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 thickBo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 thickBo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 thickBo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 thickBo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 thickBo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 thickBo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 thickBo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 thickBo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 thickBo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 thickBo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 thickBo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 thickBo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 thickBo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 thickBo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 thickBo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 thickBo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 thickBo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 thickBo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 thickBo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 thickBo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 thickBo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 thickBo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 thickBo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 thickBo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 thickBo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 thickBo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 thickBo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 thickBo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 thickBo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 thickBo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 thickBo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 thickBo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 thickBo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 thickBo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 thickBo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 thickBo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 thickBo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 thickBo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 thickBo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 thickBo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 thickBo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 thickBo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 thickBo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 thickBo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 thickBo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 thickBo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 thickBo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 thickBo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 thickBo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 thickBo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 thickBo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 thickBo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 thickBo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 thickBo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 thickBo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 thickBo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 thickBo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 thickBo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 thickBo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 thickBo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 thickBo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 thickBo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 thickBo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 thickBo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 thickBo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 thickBo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 thickBo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 thickBo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 thickBo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 thickBo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 thickBo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 thickBo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 thickBo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 thickBo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 thickBo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 thickBo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 thickBo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 thickBo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 thickBo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 thickBo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 thickBo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 thickBo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 thickBo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 thickBo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 thickBo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 thickBo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 thickBo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 thickBo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 thickBo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 thickBo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 thickBo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 thickBo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 thickBo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 thickBo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 thickBo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 thickBo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 thickBo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 thickBo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 thickBo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 thickBo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 thickBo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 thickBo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 thickBo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59F4-71FA-496E-A322-50CF314BCD17}">
  <dimension ref="E5:H11"/>
  <sheetViews>
    <sheetView workbookViewId="0">
      <selection activeCell="K16" sqref="K16"/>
    </sheetView>
  </sheetViews>
  <sheetFormatPr defaultRowHeight="14.5"/>
  <sheetData>
    <row r="5" spans="5:8">
      <c r="E5" s="43" t="s">
        <v>163</v>
      </c>
    </row>
    <row r="6" spans="5:8">
      <c r="F6" t="s">
        <v>157</v>
      </c>
      <c r="G6" t="s">
        <v>158</v>
      </c>
      <c r="H6" t="s">
        <v>159</v>
      </c>
    </row>
    <row r="7" spans="5:8">
      <c r="E7" t="s">
        <v>160</v>
      </c>
      <c r="F7">
        <v>10858</v>
      </c>
      <c r="G7">
        <v>28953</v>
      </c>
      <c r="H7">
        <v>11047</v>
      </c>
    </row>
    <row r="8" spans="5:8">
      <c r="E8" t="s">
        <v>161</v>
      </c>
      <c r="F8">
        <v>15416</v>
      </c>
      <c r="G8">
        <v>27126</v>
      </c>
      <c r="H8">
        <v>14919</v>
      </c>
    </row>
    <row r="9" spans="5:8">
      <c r="E9" t="s">
        <v>162</v>
      </c>
      <c r="F9">
        <v>19210</v>
      </c>
      <c r="G9">
        <v>32909</v>
      </c>
      <c r="H9">
        <v>18273</v>
      </c>
    </row>
    <row r="11" spans="5:8">
      <c r="E11" s="44"/>
    </row>
  </sheetData>
  <dataConsolidate topLabels="1">
    <dataRefs count="3">
      <dataRef ref="B2:F5" sheet=" May1"/>
      <dataRef ref="B2:F5" sheet="July 2"/>
      <dataRef ref="B2:F5" sheet="June 1"/>
    </dataRefs>
  </dataConsolid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9981-B4BF-48F2-A379-2DCC08BDA544}">
  <dimension ref="A1:Z1000"/>
  <sheetViews>
    <sheetView topLeftCell="A9" workbookViewId="0">
      <selection activeCell="I17" sqref="I17"/>
    </sheetView>
  </sheetViews>
  <sheetFormatPr defaultRowHeight="14.5"/>
  <cols>
    <col min="3" max="3" width="18.453125" bestFit="1" customWidth="1"/>
    <col min="4" max="4" width="15.08984375" bestFit="1" customWidth="1"/>
    <col min="5" max="5" width="10.6328125" bestFit="1" customWidth="1"/>
    <col min="6" max="6" width="9.26953125" bestFit="1" customWidth="1"/>
  </cols>
  <sheetData>
    <row r="1" spans="1:26" ht="15" thickBot="1">
      <c r="A1" s="45"/>
      <c r="B1" s="45"/>
      <c r="C1" s="46"/>
      <c r="D1" s="46"/>
      <c r="E1" s="46"/>
      <c r="F1" s="46"/>
      <c r="G1" s="45"/>
      <c r="H1" s="45"/>
      <c r="I1" s="45"/>
      <c r="J1" s="45"/>
      <c r="K1" s="45"/>
      <c r="L1" s="45"/>
      <c r="M1" s="45"/>
      <c r="N1" s="45"/>
      <c r="O1" s="45"/>
      <c r="P1" s="45"/>
      <c r="Q1" s="45"/>
      <c r="R1" s="45"/>
      <c r="S1" s="45"/>
      <c r="T1" s="45"/>
      <c r="U1" s="45"/>
      <c r="V1" s="45"/>
      <c r="W1" s="45"/>
      <c r="X1" s="45"/>
      <c r="Y1" s="45"/>
      <c r="Z1" s="45"/>
    </row>
    <row r="2" spans="1:26" ht="19" thickBot="1">
      <c r="A2" s="45"/>
      <c r="B2" s="47"/>
      <c r="C2" s="48" t="s">
        <v>164</v>
      </c>
      <c r="D2" s="48" t="s">
        <v>165</v>
      </c>
      <c r="E2" s="48" t="s">
        <v>166</v>
      </c>
      <c r="F2" s="48" t="s">
        <v>7</v>
      </c>
      <c r="G2" s="45"/>
      <c r="H2" s="45"/>
      <c r="I2" s="45"/>
      <c r="J2" s="45"/>
      <c r="K2" s="45"/>
      <c r="L2" s="45"/>
      <c r="M2" s="45"/>
      <c r="N2" s="45"/>
      <c r="O2" s="45"/>
      <c r="P2" s="45"/>
      <c r="Q2" s="45"/>
      <c r="R2" s="45"/>
      <c r="S2" s="45"/>
      <c r="T2" s="45"/>
      <c r="U2" s="45"/>
      <c r="V2" s="45"/>
      <c r="W2" s="45"/>
      <c r="X2" s="45"/>
      <c r="Y2" s="45"/>
      <c r="Z2" s="45"/>
    </row>
    <row r="3" spans="1:26" ht="15" thickBot="1">
      <c r="A3" s="45"/>
      <c r="B3" s="47"/>
      <c r="C3" s="49" t="s">
        <v>167</v>
      </c>
      <c r="D3" s="49" t="s">
        <v>168</v>
      </c>
      <c r="E3" s="49">
        <v>3000</v>
      </c>
      <c r="F3" s="49" t="s">
        <v>89</v>
      </c>
      <c r="G3" s="45"/>
      <c r="H3" s="45"/>
      <c r="I3" s="45"/>
      <c r="J3" s="45"/>
      <c r="K3" s="45"/>
      <c r="L3" s="45"/>
      <c r="M3" s="45"/>
      <c r="N3" s="45"/>
      <c r="O3" s="45"/>
      <c r="P3" s="45"/>
      <c r="Q3" s="45"/>
      <c r="R3" s="45"/>
      <c r="S3" s="45"/>
      <c r="T3" s="45"/>
      <c r="U3" s="45"/>
      <c r="V3" s="45"/>
      <c r="W3" s="45"/>
      <c r="X3" s="45"/>
      <c r="Y3" s="45"/>
      <c r="Z3" s="45"/>
    </row>
    <row r="4" spans="1:26" ht="15" thickBot="1">
      <c r="A4" s="45"/>
      <c r="B4" s="47"/>
      <c r="C4" s="49" t="s">
        <v>169</v>
      </c>
      <c r="D4" s="49" t="s">
        <v>170</v>
      </c>
      <c r="E4" s="49">
        <v>10000</v>
      </c>
      <c r="F4" s="49" t="s">
        <v>77</v>
      </c>
      <c r="G4" s="45"/>
      <c r="H4" s="45"/>
      <c r="I4" s="45"/>
      <c r="J4" s="45"/>
      <c r="K4" s="45"/>
      <c r="L4" s="45"/>
      <c r="M4" s="45"/>
      <c r="N4" s="45"/>
      <c r="O4" s="45"/>
      <c r="P4" s="45"/>
      <c r="Q4" s="45"/>
      <c r="R4" s="45"/>
      <c r="S4" s="45"/>
      <c r="T4" s="45"/>
      <c r="U4" s="45"/>
      <c r="V4" s="45"/>
      <c r="W4" s="45"/>
      <c r="X4" s="45"/>
      <c r="Y4" s="45"/>
      <c r="Z4" s="45"/>
    </row>
    <row r="5" spans="1:26" ht="15" thickBot="1">
      <c r="A5" s="45"/>
      <c r="B5" s="47"/>
      <c r="C5" s="49" t="s">
        <v>171</v>
      </c>
      <c r="D5" s="49" t="s">
        <v>172</v>
      </c>
      <c r="E5" s="49">
        <v>8000</v>
      </c>
      <c r="F5" s="49" t="s">
        <v>83</v>
      </c>
      <c r="G5" s="45"/>
      <c r="H5" s="45"/>
      <c r="I5" s="45"/>
      <c r="J5" s="45"/>
      <c r="K5" s="45"/>
      <c r="L5" s="45"/>
      <c r="M5" s="45"/>
      <c r="N5" s="45"/>
      <c r="O5" s="45"/>
      <c r="P5" s="45"/>
      <c r="Q5" s="45"/>
      <c r="R5" s="45"/>
      <c r="S5" s="45"/>
      <c r="T5" s="45"/>
      <c r="U5" s="45"/>
      <c r="V5" s="45"/>
      <c r="W5" s="45"/>
      <c r="X5" s="45"/>
      <c r="Y5" s="45"/>
      <c r="Z5" s="45"/>
    </row>
    <row r="6" spans="1:26" ht="15" thickBot="1">
      <c r="A6" s="45"/>
      <c r="B6" s="47"/>
      <c r="C6" s="49" t="s">
        <v>173</v>
      </c>
      <c r="D6" s="49" t="s">
        <v>174</v>
      </c>
      <c r="E6" s="49">
        <v>7000</v>
      </c>
      <c r="F6" s="49" t="s">
        <v>175</v>
      </c>
      <c r="G6" s="45"/>
      <c r="H6" s="45"/>
      <c r="I6" s="45"/>
      <c r="J6" s="45"/>
      <c r="K6" s="45"/>
      <c r="L6" s="45"/>
      <c r="M6" s="45"/>
      <c r="N6" s="45"/>
      <c r="O6" s="45"/>
      <c r="P6" s="45"/>
      <c r="Q6" s="45"/>
      <c r="R6" s="45"/>
      <c r="S6" s="45"/>
      <c r="T6" s="45"/>
      <c r="U6" s="45"/>
      <c r="V6" s="45"/>
      <c r="W6" s="45"/>
      <c r="X6" s="45"/>
      <c r="Y6" s="45"/>
      <c r="Z6" s="45"/>
    </row>
    <row r="7" spans="1:26" ht="15" thickBot="1">
      <c r="A7" s="45"/>
      <c r="B7" s="47"/>
      <c r="C7" s="49" t="s">
        <v>176</v>
      </c>
      <c r="D7" s="49" t="s">
        <v>177</v>
      </c>
      <c r="E7" s="49">
        <v>2500</v>
      </c>
      <c r="F7" s="49" t="s">
        <v>178</v>
      </c>
      <c r="G7" s="45"/>
      <c r="H7" s="45"/>
      <c r="I7" s="45"/>
      <c r="J7" s="45"/>
      <c r="K7" s="45"/>
      <c r="L7" s="45"/>
      <c r="M7" s="45"/>
      <c r="N7" s="45"/>
      <c r="O7" s="45"/>
      <c r="P7" s="45"/>
      <c r="Q7" s="45"/>
      <c r="R7" s="45"/>
      <c r="S7" s="45"/>
      <c r="T7" s="45"/>
      <c r="U7" s="45"/>
      <c r="V7" s="45"/>
      <c r="W7" s="45"/>
      <c r="X7" s="45"/>
      <c r="Y7" s="45"/>
      <c r="Z7" s="45"/>
    </row>
    <row r="8" spans="1:26" ht="15" thickBot="1">
      <c r="A8" s="45"/>
      <c r="B8" s="45"/>
      <c r="C8" s="45"/>
      <c r="D8" s="45"/>
      <c r="E8" s="45"/>
      <c r="F8" s="45"/>
      <c r="G8" s="45"/>
      <c r="H8" s="45"/>
      <c r="I8" s="45"/>
      <c r="J8" s="45"/>
      <c r="K8" s="45"/>
      <c r="L8" s="45"/>
      <c r="M8" s="45"/>
      <c r="N8" s="45"/>
      <c r="O8" s="45"/>
      <c r="P8" s="45"/>
      <c r="Q8" s="45"/>
      <c r="R8" s="45"/>
      <c r="S8" s="45"/>
      <c r="T8" s="45"/>
      <c r="U8" s="45"/>
      <c r="V8" s="45"/>
      <c r="W8" s="45"/>
      <c r="X8" s="45"/>
      <c r="Y8" s="45"/>
      <c r="Z8" s="45"/>
    </row>
    <row r="9" spans="1:26" ht="15" thickBot="1">
      <c r="A9" s="45"/>
      <c r="B9" s="45"/>
      <c r="C9" s="45"/>
      <c r="D9" s="45"/>
      <c r="E9" s="45"/>
      <c r="F9" s="45"/>
      <c r="G9" s="45"/>
      <c r="H9" s="45"/>
      <c r="I9" s="45"/>
      <c r="J9" s="45"/>
      <c r="K9" s="45"/>
      <c r="L9" s="45"/>
      <c r="M9" s="45"/>
      <c r="N9" s="45"/>
      <c r="O9" s="45"/>
      <c r="P9" s="45"/>
      <c r="Q9" s="45"/>
      <c r="R9" s="45"/>
      <c r="S9" s="45"/>
      <c r="T9" s="45"/>
      <c r="U9" s="45"/>
      <c r="V9" s="45"/>
      <c r="W9" s="45"/>
      <c r="X9" s="45"/>
      <c r="Y9" s="45"/>
      <c r="Z9" s="45"/>
    </row>
    <row r="10" spans="1:26" ht="15" thickBo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spans="1:26" ht="15" thickBo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spans="1:26" ht="15" thickBo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spans="1:26" ht="15" thickBo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spans="1:26" ht="15" thickBo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spans="1:26" ht="15" thickBot="1">
      <c r="A15" s="45"/>
      <c r="B15" s="45"/>
      <c r="C15" s="50" t="s">
        <v>179</v>
      </c>
      <c r="D15" s="50" t="s">
        <v>180</v>
      </c>
      <c r="E15" s="50" t="s">
        <v>181</v>
      </c>
      <c r="F15" s="50" t="s">
        <v>182</v>
      </c>
      <c r="G15" s="45"/>
      <c r="H15" s="45"/>
      <c r="I15" s="45"/>
      <c r="J15" s="45"/>
      <c r="K15" s="45"/>
      <c r="L15" s="45"/>
      <c r="M15" s="45"/>
      <c r="N15" s="45"/>
      <c r="O15" s="45"/>
      <c r="P15" s="45"/>
      <c r="Q15" s="45"/>
      <c r="R15" s="45"/>
      <c r="S15" s="45"/>
      <c r="T15" s="45"/>
      <c r="U15" s="45"/>
      <c r="V15" s="45"/>
      <c r="W15" s="45"/>
      <c r="X15" s="45"/>
      <c r="Y15" s="45"/>
      <c r="Z15" s="45"/>
    </row>
    <row r="16" spans="1:26" ht="15" thickBot="1">
      <c r="A16" s="45"/>
      <c r="B16" s="45"/>
      <c r="C16" s="45" t="s">
        <v>183</v>
      </c>
      <c r="D16" s="45">
        <f>SUM(Salary)</f>
        <v>30500</v>
      </c>
      <c r="E16" s="45" t="s">
        <v>184</v>
      </c>
      <c r="F16" s="51">
        <v>10</v>
      </c>
      <c r="G16" s="45"/>
      <c r="H16" s="45"/>
      <c r="I16" s="45"/>
      <c r="J16" s="45"/>
      <c r="K16" s="45"/>
      <c r="L16" s="45"/>
      <c r="M16" s="45"/>
      <c r="N16" s="45"/>
      <c r="O16" s="45"/>
      <c r="P16" s="45"/>
      <c r="Q16" s="45"/>
      <c r="R16" s="45"/>
      <c r="S16" s="45"/>
      <c r="T16" s="45"/>
      <c r="U16" s="45"/>
      <c r="V16" s="45"/>
      <c r="W16" s="45"/>
      <c r="X16" s="45"/>
      <c r="Y16" s="45"/>
      <c r="Z16" s="45"/>
    </row>
    <row r="17" spans="1:26" ht="15" thickBot="1">
      <c r="A17" s="45"/>
      <c r="B17" s="45"/>
      <c r="C17" s="45" t="s">
        <v>185</v>
      </c>
      <c r="D17" s="45">
        <f>MIN(Salary)</f>
        <v>2500</v>
      </c>
      <c r="E17" s="45" t="s">
        <v>186</v>
      </c>
      <c r="F17" s="51">
        <v>20</v>
      </c>
      <c r="G17" s="45"/>
      <c r="H17" s="45"/>
      <c r="I17" s="45"/>
      <c r="J17" s="45"/>
      <c r="K17" s="45"/>
      <c r="L17" s="45"/>
      <c r="M17" s="45"/>
      <c r="N17" s="45"/>
      <c r="O17" s="45"/>
      <c r="P17" s="45"/>
      <c r="Q17" s="45"/>
      <c r="R17" s="45"/>
      <c r="S17" s="45"/>
      <c r="T17" s="45"/>
      <c r="U17" s="45"/>
      <c r="V17" s="45"/>
      <c r="W17" s="45"/>
      <c r="X17" s="45"/>
      <c r="Y17" s="45"/>
      <c r="Z17" s="45"/>
    </row>
    <row r="18" spans="1:26" ht="15" thickBot="1">
      <c r="A18" s="45"/>
      <c r="B18" s="45"/>
      <c r="C18" s="45" t="s">
        <v>187</v>
      </c>
      <c r="D18" s="45">
        <f>MAX(Salary)</f>
        <v>10000</v>
      </c>
      <c r="E18" s="45" t="s">
        <v>188</v>
      </c>
      <c r="F18" s="51">
        <v>30</v>
      </c>
      <c r="G18" s="45"/>
      <c r="H18" s="45"/>
      <c r="I18" s="45"/>
      <c r="J18" s="45"/>
      <c r="K18" s="45"/>
      <c r="L18" s="45"/>
      <c r="M18" s="45"/>
      <c r="N18" s="45"/>
      <c r="O18" s="45"/>
      <c r="P18" s="45"/>
      <c r="Q18" s="45"/>
      <c r="R18" s="45"/>
      <c r="S18" s="45"/>
      <c r="T18" s="45"/>
      <c r="U18" s="45"/>
      <c r="V18" s="45"/>
      <c r="W18" s="45"/>
      <c r="X18" s="45"/>
      <c r="Y18" s="45"/>
      <c r="Z18" s="45"/>
    </row>
    <row r="19" spans="1:26" ht="15" thickBot="1">
      <c r="A19" s="45"/>
      <c r="B19" s="45"/>
      <c r="C19" s="45" t="s">
        <v>189</v>
      </c>
      <c r="D19" s="45">
        <f>AVERAGE(Salary)</f>
        <v>6100</v>
      </c>
      <c r="E19" s="45" t="s">
        <v>190</v>
      </c>
      <c r="F19" s="51">
        <v>40</v>
      </c>
      <c r="G19" s="45"/>
      <c r="H19" s="45"/>
      <c r="I19" s="45"/>
      <c r="J19" s="45"/>
      <c r="K19" s="45"/>
      <c r="L19" s="45"/>
      <c r="M19" s="45"/>
      <c r="N19" s="45"/>
      <c r="O19" s="45"/>
      <c r="P19" s="45"/>
      <c r="Q19" s="45"/>
      <c r="R19" s="45"/>
      <c r="S19" s="45"/>
      <c r="T19" s="45"/>
      <c r="U19" s="45"/>
      <c r="V19" s="45"/>
      <c r="W19" s="45"/>
      <c r="X19" s="45"/>
      <c r="Y19" s="45"/>
      <c r="Z19" s="45"/>
    </row>
    <row r="20" spans="1:26" ht="15" thickBot="1">
      <c r="A20" s="45"/>
      <c r="B20" s="45"/>
      <c r="C20" s="45" t="s">
        <v>191</v>
      </c>
      <c r="D20" s="45">
        <f>COUNT(Employee_Name)</f>
        <v>0</v>
      </c>
      <c r="E20" s="45" t="s">
        <v>192</v>
      </c>
      <c r="F20" s="51">
        <v>50</v>
      </c>
      <c r="G20" s="45"/>
      <c r="H20" s="45"/>
      <c r="I20" s="45"/>
      <c r="J20" s="45"/>
      <c r="K20" s="45"/>
      <c r="L20" s="45"/>
      <c r="M20" s="45"/>
      <c r="N20" s="45"/>
      <c r="O20" s="45"/>
      <c r="P20" s="45"/>
      <c r="Q20" s="45"/>
      <c r="R20" s="45"/>
      <c r="S20" s="45"/>
      <c r="T20" s="45"/>
      <c r="U20" s="45"/>
      <c r="V20" s="45"/>
      <c r="W20" s="45"/>
      <c r="X20" s="45"/>
      <c r="Y20" s="45"/>
      <c r="Z20" s="45"/>
    </row>
    <row r="21" spans="1:26" ht="15" thickBot="1">
      <c r="A21" s="45"/>
      <c r="B21" s="45"/>
      <c r="C21" s="45" t="s">
        <v>193</v>
      </c>
      <c r="D21" s="45"/>
      <c r="E21" s="45" t="s">
        <v>194</v>
      </c>
      <c r="F21" s="51">
        <v>60</v>
      </c>
      <c r="G21" s="45"/>
      <c r="H21" s="45"/>
      <c r="I21" s="45"/>
      <c r="J21" s="45"/>
      <c r="K21" s="45"/>
      <c r="L21" s="45"/>
      <c r="M21" s="45"/>
      <c r="N21" s="45"/>
      <c r="O21" s="45"/>
      <c r="P21" s="45"/>
      <c r="Q21" s="45"/>
      <c r="R21" s="45"/>
      <c r="S21" s="45"/>
      <c r="T21" s="45"/>
      <c r="U21" s="45"/>
      <c r="V21" s="45"/>
      <c r="W21" s="45"/>
      <c r="X21" s="45"/>
      <c r="Y21" s="45"/>
      <c r="Z21" s="45"/>
    </row>
    <row r="22" spans="1:26" ht="15" thickBot="1">
      <c r="A22" s="45"/>
      <c r="B22" s="45"/>
      <c r="C22" s="45" t="s">
        <v>195</v>
      </c>
      <c r="D22" s="45"/>
      <c r="E22" s="45" t="s">
        <v>196</v>
      </c>
      <c r="F22" s="51">
        <v>70</v>
      </c>
      <c r="G22" s="45"/>
      <c r="H22" s="45"/>
      <c r="I22" s="45"/>
      <c r="J22" s="45"/>
      <c r="K22" s="45"/>
      <c r="L22" s="45"/>
      <c r="M22" s="45"/>
      <c r="N22" s="45"/>
      <c r="O22" s="45"/>
      <c r="P22" s="45"/>
      <c r="Q22" s="45"/>
      <c r="R22" s="45"/>
      <c r="S22" s="45"/>
      <c r="T22" s="45"/>
      <c r="U22" s="45"/>
      <c r="V22" s="45"/>
      <c r="W22" s="45"/>
      <c r="X22" s="45"/>
      <c r="Y22" s="45"/>
      <c r="Z22" s="45"/>
    </row>
    <row r="23" spans="1:26" ht="15" thickBo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spans="1:26" ht="15" thickBo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spans="1:26" ht="15" thickBo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spans="1:26" ht="15" thickBo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spans="1:26" ht="15" thickBo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spans="1:26" ht="15" thickBo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spans="1:26" ht="15" thickBo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spans="1:26" ht="15" thickBo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spans="1:26" ht="15" thickBo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spans="1:26" ht="15" thickBo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spans="1:26" ht="15" thickBo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ht="15" thickBo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ht="15" thickBo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ht="15" thickBo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ht="15" thickBo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ht="15" thickBo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5" thickBo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5" thickBo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spans="1:26" ht="15" thickBo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spans="1:26" ht="15" thickBo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5" thickBo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5" thickBo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15" thickBo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spans="1:26" ht="15" thickBo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spans="1:26" ht="15" thickBo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spans="1:26" ht="15" thickBo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ht="15" thickBo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ht="15" thickBo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ht="15" thickBo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ht="15" thickBo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5" thickBo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5" thickBo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ht="15" thickBo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5" thickBo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5" thickBo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5" thickBo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ht="15" thickBo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ht="15" thickBo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ht="15" thickBo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ht="15" thickBo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ht="15" thickBo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5" thickBo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15" thickBo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ht="15" thickBo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5" thickBo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5" thickBo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5" thickBo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5" thickBo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5" thickBo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5" thickBo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5" thickBo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5" thickBo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5" thickBo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5" thickBo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5" thickBo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5" thickBo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5" thickBo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5" thickBo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5" thickBo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5" thickBo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5" thickBo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5" thickBo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5" thickBo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5" thickBo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5" thickBo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5" thickBo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5" thickBo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5" thickBo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5" thickBo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5" thickBo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5" thickBo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5" thickBo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5" thickBo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5" thickBo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5" thickBo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5" thickBo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5" thickBo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5" thickBo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5" thickBo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5" thickBo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5" thickBo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5" thickBo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5" thickBo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5" thickBo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5" thickBo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5" thickBo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5" thickBo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5" thickBo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5" thickBo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5" thickBo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5" thickBo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5" thickBo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5" thickBo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5" thickBo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5" thickBo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5" thickBo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5" thickBo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5" thickBo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5" thickBo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5" thickBo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5" thickBo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5" thickBo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5" thickBo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5" thickBo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5" thickBo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5" thickBo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5" thickBo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5" thickBo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5" thickBo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5" thickBo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5" thickBo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5" thickBo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5" thickBo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5" thickBo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5" thickBo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5" thickBo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5" thickBo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5" thickBo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5" thickBo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5" thickBo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5" thickBo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5" thickBo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5" thickBo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5" thickBo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5" thickBo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5" thickBo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5" thickBo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5" thickBo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5" thickBo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5" thickBo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5" thickBo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5" thickBo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5" thickBo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5" thickBo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5" thickBo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5" thickBo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5" thickBo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5" thickBo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5" thickBo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5" thickBo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5" thickBo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5" thickBo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5" thickBo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5" thickBo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5" thickBo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5" thickBo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5" thickBo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5" thickBo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5" thickBo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5" thickBo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5" thickBo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5" thickBo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5" thickBo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5" thickBo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5" thickBo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5" thickBo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5" thickBo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5" thickBo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5" thickBo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5" thickBo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5" thickBo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5" thickBo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5" thickBo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5" thickBo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5" thickBo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5" thickBo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5" thickBo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5" thickBo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5" thickBo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5" thickBo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5" thickBo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5" thickBo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5" thickBo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5" thickBo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5" thickBo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5" thickBo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5" thickBo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5" thickBo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5" thickBo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5" thickBo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5" thickBo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5" thickBo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5" thickBo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5" thickBo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5" thickBo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5" thickBo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5" thickBo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5" thickBo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5" thickBo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5" thickBo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5" thickBo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5" thickBo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5" thickBo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5" thickBo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5" thickBo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5" thickBo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5" thickBo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5" thickBo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5" thickBo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5" thickBo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5" thickBo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5" thickBo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5" thickBo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5" thickBo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5" thickBo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5" thickBo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5" thickBo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5" thickBo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5" thickBo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5" thickBo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5" thickBo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5" thickBo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5" thickBo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5" thickBo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5" thickBo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5" thickBo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5" thickBo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5" thickBo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5" thickBo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5" thickBo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5" thickBo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5" thickBo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5" thickBo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5" thickBo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5" thickBo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5" thickBo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5" thickBo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5" thickBo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5" thickBo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5" thickBo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5" thickBo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5" thickBo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5" thickBo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5" thickBo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5" thickBo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5" thickBo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5" thickBo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5" thickBo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5" thickBo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5" thickBo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5" thickBo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5" thickBo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5" thickBo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5" thickBo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5" thickBo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5" thickBo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5" thickBo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5" thickBo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5" thickBo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5" thickBo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5" thickBo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5" thickBo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5" thickBo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5" thickBo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5" thickBo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5" thickBo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5" thickBo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5" thickBo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5" thickBo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5" thickBo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5" thickBo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5" thickBo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5" thickBo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5" thickBo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5" thickBo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5" thickBo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5" thickBo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5" thickBo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5" thickBo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5" thickBo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5" thickBo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5" thickBo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5" thickBo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5" thickBo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5" thickBo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5" thickBo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5" thickBo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5" thickBo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5" thickBo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5" thickBo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5" thickBo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5" thickBo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5" thickBo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5" thickBo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5" thickBo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5" thickBo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5" thickBo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5" thickBo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5" thickBo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5" thickBo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5" thickBo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5" thickBo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5" thickBo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5" thickBo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5" thickBo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5" thickBo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5" thickBo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5" thickBo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5" thickBo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5" thickBo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5" thickBo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5" thickBo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5" thickBo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5" thickBo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5" thickBo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5" thickBo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5" thickBo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5" thickBo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5" thickBo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5" thickBo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5" thickBo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5" thickBo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5" thickBo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5" thickBo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5" thickBo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5" thickBo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5" thickBo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5" thickBo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5" thickBo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5" thickBo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5" thickBo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5" thickBo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5" thickBo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5" thickBo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5" thickBo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5" thickBo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5" thickBo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5" thickBo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5" thickBo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5" thickBo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5" thickBo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5" thickBo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5" thickBo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5" thickBo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5" thickBo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5" thickBo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5" thickBo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5" thickBo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5" thickBo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5" thickBo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5" thickBo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5" thickBo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5" thickBo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5" thickBo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5" thickBo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5" thickBo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5" thickBo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5" thickBo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5" thickBo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5" thickBo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5" thickBo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5" thickBo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5" thickBo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5" thickBo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5" thickBo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5" thickBo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5" thickBo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5" thickBo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5" thickBo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5" thickBo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5" thickBo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5" thickBo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5" thickBo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5" thickBo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5" thickBo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5" thickBo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5" thickBo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5" thickBo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5" thickBo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5" thickBo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5" thickBo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5" thickBo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5" thickBo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5" thickBo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5" thickBo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5" thickBo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5" thickBo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5" thickBo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5" thickBo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5" thickBo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5" thickBo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5" thickBo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5" thickBo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5" thickBo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5" thickBo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5" thickBo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5" thickBo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5" thickBo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5" thickBo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5" thickBo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5" thickBo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5" thickBo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5" thickBo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5" thickBo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5" thickBo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5" thickBo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5" thickBo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5" thickBo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5" thickBo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5" thickBo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5" thickBo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5" thickBo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5" thickBo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5" thickBo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5" thickBo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5" thickBo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5" thickBo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5" thickBo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5" thickBo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5" thickBo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5" thickBo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5" thickBo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5" thickBo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5" thickBo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5" thickBo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5" thickBo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5" thickBo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5" thickBo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5" thickBo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5" thickBo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5" thickBo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5" thickBo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5" thickBo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5" thickBo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5" thickBo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5" thickBo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5" thickBo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5" thickBo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5" thickBo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5" thickBo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5" thickBo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5" thickBo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5" thickBo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5" thickBo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5" thickBo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5" thickBo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5" thickBo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5" thickBo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5" thickBo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5" thickBo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5" thickBo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5" thickBo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5" thickBo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5" thickBo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5" thickBo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5" thickBo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5" thickBo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5" thickBo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5" thickBo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5" thickBo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5" thickBo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5" thickBo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5" thickBo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5" thickBo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5" thickBo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5" thickBo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5" thickBo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5" thickBo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5" thickBo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5" thickBo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5" thickBo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5" thickBo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5" thickBo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5" thickBo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5" thickBo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5" thickBo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5" thickBo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5" thickBo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5" thickBo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5" thickBo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5" thickBo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5" thickBo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5" thickBo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5" thickBo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5" thickBo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5" thickBo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5" thickBo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5" thickBo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5" thickBo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5" thickBo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5" thickBo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5" thickBo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5" thickBo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5" thickBo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5" thickBo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5" thickBo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5" thickBo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5" thickBo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5" thickBo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5" thickBo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5" thickBo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5" thickBo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5" thickBo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5" thickBo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5" thickBo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5" thickBo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5" thickBo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5" thickBo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5" thickBo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5" thickBo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5" thickBo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5" thickBo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5" thickBo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5" thickBo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5" thickBo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5" thickBo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5" thickBo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5" thickBo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5" thickBo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5" thickBo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5" thickBo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5" thickBo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5" thickBo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5" thickBo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5" thickBo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5" thickBo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5" thickBo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5" thickBo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5" thickBo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5" thickBo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5" thickBo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5" thickBo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5" thickBo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5" thickBo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5" thickBo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5" thickBo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5" thickBo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5" thickBo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5" thickBo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5" thickBo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5" thickBo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5" thickBo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5" thickBo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5" thickBo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5" thickBo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5" thickBo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5" thickBo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5" thickBo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5" thickBo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5" thickBo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5" thickBo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5" thickBo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5" thickBo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5" thickBo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5" thickBo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5" thickBo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5" thickBo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5" thickBo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5" thickBo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5" thickBo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5" thickBo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5" thickBo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5" thickBo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5" thickBo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5" thickBo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5" thickBo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5" thickBo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5" thickBo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5" thickBo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5" thickBo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5" thickBo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5" thickBo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5" thickBo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5" thickBo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5" thickBo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5" thickBo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5" thickBo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5" thickBo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5" thickBo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5" thickBo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5" thickBo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5" thickBo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5" thickBo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5" thickBo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5" thickBo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5" thickBo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5" thickBo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5" thickBo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5" thickBo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5" thickBo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5" thickBo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5" thickBo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5" thickBo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5" thickBo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5" thickBo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5" thickBo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5" thickBo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5" thickBo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5" thickBo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5" thickBo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5" thickBo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5" thickBo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5" thickBo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5" thickBo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5" thickBo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5" thickBo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5" thickBo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5" thickBo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5" thickBo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5" thickBo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5" thickBo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5" thickBo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5" thickBo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5" thickBo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5" thickBo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5" thickBo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5" thickBo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5" thickBo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5" thickBo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5" thickBo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5" thickBo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5" thickBo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5" thickBo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5" thickBo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5" thickBo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5" thickBo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5" thickBo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5" thickBo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5" thickBo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5" thickBo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5" thickBo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5" thickBo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5" thickBo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5" thickBo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5" thickBo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5" thickBo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5" thickBo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5" thickBo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5" thickBo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5" thickBo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5" thickBo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5" thickBo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5" thickBo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5" thickBo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5" thickBo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5" thickBo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5" thickBo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5" thickBo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5" thickBo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5" thickBo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5" thickBo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5" thickBo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5" thickBo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5" thickBo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5" thickBo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5" thickBo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5" thickBo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5" thickBo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5" thickBo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5" thickBo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5" thickBo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5" thickBo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5" thickBo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5" thickBo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5" thickBo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5" thickBo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5" thickBo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5" thickBo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5" thickBo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5" thickBo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5" thickBo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5" thickBo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5" thickBo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5" thickBo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5" thickBo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5" thickBo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5" thickBo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5" thickBo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5" thickBo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5" thickBo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5" thickBo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5" thickBo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5" thickBo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5" thickBo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5" thickBo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5" thickBo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5" thickBo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5" thickBo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5" thickBo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5" thickBo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5" thickBo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5" thickBo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5" thickBo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5" thickBo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5" thickBo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5" thickBo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5" thickBo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5" thickBo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5" thickBo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5" thickBo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5" thickBo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5" thickBo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5" thickBo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5" thickBo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5" thickBo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5" thickBo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5" thickBo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5" thickBo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5" thickBo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5" thickBo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5" thickBo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5" thickBo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5" thickBo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5" thickBo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5" thickBo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5" thickBo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5" thickBo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5" thickBo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5" thickBo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5" thickBo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5" thickBo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5" thickBo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5" thickBo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5" thickBo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5" thickBo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5" thickBo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5" thickBo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5" thickBo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5" thickBo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5" thickBo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5" thickBo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5" thickBo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5" thickBo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5" thickBo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5" thickBo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5" thickBo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5" thickBo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5" thickBo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5" thickBo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5" thickBo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5" thickBo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5" thickBo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5" thickBo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5" thickBo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5" thickBo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5" thickBo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5" thickBo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5" thickBo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5" thickBo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5" thickBo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5" thickBo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5" thickBo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5" thickBo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5" thickBo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5" thickBo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5" thickBo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5" thickBo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5" thickBo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5" thickBo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5" thickBo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5" thickBo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5" thickBo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5" thickBo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5" thickBo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5" thickBo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5" thickBo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5" thickBo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5" thickBo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5" thickBo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5" thickBo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5" thickBo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5" thickBo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5" thickBo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5" thickBo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5" thickBo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5" thickBo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5" thickBo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5" thickBo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5" thickBo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5" thickBo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5" thickBo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5" thickBo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5" thickBo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5" thickBo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5" thickBo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5" thickBo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5" thickBo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5" thickBo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5" thickBo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5" thickBo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5" thickBo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5" thickBo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5" thickBo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5" thickBo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5" thickBo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5" thickBo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5" thickBo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5" thickBo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5" thickBo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5" thickBo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5" thickBo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5" thickBo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5" thickBo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5" thickBo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5" thickBo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5" thickBo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5" thickBo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5" thickBo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5" thickBo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5" thickBo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5" thickBo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5" thickBo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5" thickBo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5" thickBo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5" thickBo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5" thickBo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5" thickBo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5" thickBo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5" thickBo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5" thickBo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5" thickBo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5" thickBo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5" thickBo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5" thickBo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5" thickBo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5" thickBo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5" thickBo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5" thickBo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5" thickBo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5" thickBo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5" thickBo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5" thickBo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5" thickBo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5" thickBo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5" thickBo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5" thickBo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5" thickBo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5" thickBo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5" thickBo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5" thickBo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5" thickBo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5" thickBo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5" thickBo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5" thickBo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5" thickBo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5" thickBo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5" thickBo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5" thickBo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5" thickBo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5" thickBo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5" thickBo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5" thickBo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5" thickBo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5" thickBo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5" thickBo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5" thickBo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5" thickBo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5" thickBo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5" thickBo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5" thickBo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5" thickBo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5" thickBo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5" thickBo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5" thickBo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5" thickBo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5" thickBo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5" thickBo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5" thickBo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5" thickBo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5" thickBo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5" thickBo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5" thickBo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5" thickBo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5" thickBo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5" thickBo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5" thickBo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5" thickBo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5" thickBo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5" thickBo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5" thickBo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5" thickBo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5" thickBo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5" thickBo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5" thickBo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5" thickBo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5" thickBo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5" thickBo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5" thickBo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5" thickBo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5" thickBo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5" thickBo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5" thickBo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5" thickBo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5" thickBo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5" thickBo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5" thickBo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5" thickBo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5" thickBo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5" thickBo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5" thickBo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5" thickBo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5" thickBo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5" thickBo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5" thickBo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5" thickBo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5" thickBo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5" thickBo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5" thickBo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5" thickBo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5" thickBo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5" thickBo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5" thickBo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5" thickBo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5" thickBo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5" thickBo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5" thickBo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5" thickBo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5" thickBo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5" thickBo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5" thickBo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5" thickBo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5" thickBo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5" thickBo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5" thickBo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5" thickBo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5" thickBo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5" thickBo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5" thickBo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5" thickBo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5" thickBo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5" thickBo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5" thickBo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5" thickBo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5" thickBo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5" thickBo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5" thickBo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5" thickBo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5" thickBo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5" thickBo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5" thickBo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5" thickBo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5" thickBo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5" thickBo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5" thickBo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5" thickBo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5" thickBo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5" thickBo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5" thickBo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5" thickBo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5" thickBo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5" thickBo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5" thickBo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5" thickBo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5" thickBo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5" thickBo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5" thickBo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5" thickBo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5" thickBo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5" thickBo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5" thickBo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5" thickBo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5" thickBo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5" thickBo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5" thickBo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5" thickBo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5" thickBo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5" thickBo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5" thickBo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5" thickBo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5" thickBo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5" thickBo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5" thickBo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5" thickBo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5" thickBo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5" thickBo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5" thickBo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5" thickBo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5" thickBo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5" thickBo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5" thickBo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5" thickBo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5" thickBo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5" thickBo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5" thickBo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5" thickBo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5" thickBo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5" thickBo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5" thickBo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F1CB-EDF9-416D-8B6B-54B83050A047}">
  <dimension ref="F4:I9"/>
  <sheetViews>
    <sheetView workbookViewId="0">
      <selection activeCell="I13" sqref="I13"/>
    </sheetView>
  </sheetViews>
  <sheetFormatPr defaultRowHeight="14.5"/>
  <sheetData>
    <row r="4" spans="6:9">
      <c r="F4">
        <f>SUM(Salary)</f>
        <v>30500</v>
      </c>
    </row>
    <row r="8" spans="6:9">
      <c r="F8">
        <f>AVERAGE(Salary)</f>
        <v>6100</v>
      </c>
    </row>
    <row r="9" spans="6:9">
      <c r="I9">
        <f>SUM(Nums)</f>
        <v>280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4F22-BFA8-4468-AE1B-A968219ECFAB}">
  <dimension ref="G6:O24"/>
  <sheetViews>
    <sheetView tabSelected="1" topLeftCell="A3" zoomScale="65" workbookViewId="0">
      <selection activeCell="H13" sqref="G7:J17"/>
    </sheetView>
  </sheetViews>
  <sheetFormatPr defaultRowHeight="14.5"/>
  <cols>
    <col min="7" max="7" width="11.6328125" customWidth="1"/>
    <col min="8" max="8" width="13.36328125" customWidth="1"/>
    <col min="9" max="9" width="11" customWidth="1"/>
    <col min="10" max="10" width="13.08984375" customWidth="1"/>
  </cols>
  <sheetData>
    <row r="6" spans="7:10">
      <c r="G6" s="55" t="s">
        <v>227</v>
      </c>
      <c r="H6" s="56" t="s">
        <v>135</v>
      </c>
      <c r="I6" s="56" t="s">
        <v>226</v>
      </c>
      <c r="J6" s="56" t="s">
        <v>225</v>
      </c>
    </row>
    <row r="7" spans="7:10" ht="15.5">
      <c r="G7" s="53" t="s">
        <v>197</v>
      </c>
      <c r="H7" s="52" t="s">
        <v>198</v>
      </c>
      <c r="I7" s="52" t="s">
        <v>199</v>
      </c>
      <c r="J7" s="54">
        <v>500</v>
      </c>
    </row>
    <row r="8" spans="7:10" ht="15.5">
      <c r="G8" s="53" t="s">
        <v>200</v>
      </c>
      <c r="H8" s="52" t="s">
        <v>201</v>
      </c>
      <c r="I8" s="52" t="s">
        <v>202</v>
      </c>
      <c r="J8" s="54">
        <v>650</v>
      </c>
    </row>
    <row r="9" spans="7:10" ht="15.5">
      <c r="G9" s="53" t="s">
        <v>203</v>
      </c>
      <c r="H9" s="52" t="s">
        <v>204</v>
      </c>
      <c r="I9" s="52" t="s">
        <v>205</v>
      </c>
      <c r="J9" s="54">
        <v>482</v>
      </c>
    </row>
    <row r="10" spans="7:10" ht="15.5">
      <c r="G10" s="53" t="s">
        <v>206</v>
      </c>
      <c r="H10" s="52" t="s">
        <v>207</v>
      </c>
      <c r="I10" s="52" t="s">
        <v>208</v>
      </c>
      <c r="J10" s="54">
        <v>541</v>
      </c>
    </row>
    <row r="11" spans="7:10" ht="15.5">
      <c r="G11" s="53" t="s">
        <v>209</v>
      </c>
      <c r="H11" s="52" t="s">
        <v>210</v>
      </c>
      <c r="I11" s="52" t="s">
        <v>211</v>
      </c>
      <c r="J11" s="54">
        <v>521</v>
      </c>
    </row>
    <row r="12" spans="7:10" ht="15.5">
      <c r="G12" s="53" t="s">
        <v>212</v>
      </c>
      <c r="H12" s="52" t="s">
        <v>213</v>
      </c>
      <c r="I12" s="52" t="s">
        <v>214</v>
      </c>
      <c r="J12" s="54">
        <v>5425</v>
      </c>
    </row>
    <row r="13" spans="7:10" ht="15.5">
      <c r="G13" s="53" t="s">
        <v>215</v>
      </c>
      <c r="H13" s="52" t="s">
        <v>210</v>
      </c>
      <c r="I13" s="52" t="s">
        <v>216</v>
      </c>
      <c r="J13" s="54">
        <v>857</v>
      </c>
    </row>
    <row r="14" spans="7:10" ht="15.5">
      <c r="G14" s="53" t="s">
        <v>217</v>
      </c>
      <c r="H14" s="52" t="s">
        <v>207</v>
      </c>
      <c r="I14" s="52" t="s">
        <v>218</v>
      </c>
      <c r="J14" s="54">
        <v>741</v>
      </c>
    </row>
    <row r="15" spans="7:10" ht="15.5">
      <c r="G15" s="53" t="s">
        <v>219</v>
      </c>
      <c r="H15" s="52" t="s">
        <v>198</v>
      </c>
      <c r="I15" s="52" t="s">
        <v>220</v>
      </c>
      <c r="J15" s="54">
        <v>987</v>
      </c>
    </row>
    <row r="16" spans="7:10" ht="15.5">
      <c r="G16" s="53" t="s">
        <v>221</v>
      </c>
      <c r="H16" s="52" t="s">
        <v>201</v>
      </c>
      <c r="I16" s="52" t="s">
        <v>222</v>
      </c>
      <c r="J16" s="54">
        <v>545</v>
      </c>
    </row>
    <row r="17" spans="7:15" ht="15.5">
      <c r="G17" s="57" t="s">
        <v>223</v>
      </c>
      <c r="H17" s="58" t="s">
        <v>210</v>
      </c>
      <c r="I17" s="58" t="s">
        <v>224</v>
      </c>
      <c r="J17" s="59">
        <v>635</v>
      </c>
    </row>
    <row r="18" spans="7:15" ht="15.5">
      <c r="G18" s="57" t="s">
        <v>228</v>
      </c>
      <c r="H18" s="58"/>
      <c r="I18" s="58"/>
      <c r="J18" s="60">
        <f>SUBTOTAL(104,Practise_table[Amount])</f>
        <v>5425</v>
      </c>
    </row>
    <row r="24" spans="7:15">
      <c r="O24" s="44" t="s">
        <v>229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Data</vt:lpstr>
      <vt:lpstr>String questions</vt:lpstr>
      <vt:lpstr>Date Functions</vt:lpstr>
      <vt:lpstr>Formula Referencing</vt:lpstr>
      <vt:lpstr>FR-1</vt:lpstr>
      <vt:lpstr>May</vt:lpstr>
      <vt:lpstr>June</vt:lpstr>
      <vt:lpstr>Sheet1</vt:lpstr>
      <vt:lpstr>july </vt:lpstr>
      <vt:lpstr>Multiple reference </vt:lpstr>
      <vt:lpstr> May1</vt:lpstr>
      <vt:lpstr>June 1</vt:lpstr>
      <vt:lpstr>July 2</vt:lpstr>
      <vt:lpstr> Consolidation 1</vt:lpstr>
      <vt:lpstr>Name range </vt:lpstr>
      <vt:lpstr>Practise sheet </vt:lpstr>
      <vt:lpstr>Table in excel </vt:lpstr>
      <vt:lpstr>City</vt:lpstr>
      <vt:lpstr>Days</vt:lpstr>
      <vt:lpstr>Designation</vt:lpstr>
      <vt:lpstr>Employee_Name</vt:lpstr>
      <vt:lpstr>Nums</vt:lpstr>
      <vt:lpstr>Salary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Prachiti sonawane</dc:creator>
  <cp:lastModifiedBy>MIHIR VAITY</cp:lastModifiedBy>
  <dcterms:created xsi:type="dcterms:W3CDTF">2026-10-05T16:17:30Z</dcterms:created>
  <dcterms:modified xsi:type="dcterms:W3CDTF">2026-10-13T03:46:25Z</dcterms:modified>
</cp:coreProperties>
</file>