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IHIR\Desktop\Excel Dmart data Analyst\"/>
    </mc:Choice>
  </mc:AlternateContent>
  <xr:revisionPtr revIDLastSave="0" documentId="13_ncr:1_{5AF2F200-954D-4445-B908-B27E78A2933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a" sheetId="1" r:id="rId1"/>
    <sheet name="String questions" sheetId="2" r:id="rId2"/>
    <sheet name="Date Functions" sheetId="3" r:id="rId3"/>
    <sheet name="Formula Referencing" sheetId="4" r:id="rId4"/>
  </sheets>
  <calcPr calcId="191029"/>
  <extLst>
    <ext uri="GoogleSheetsCustomDataVersion2">
      <go:sheetsCustomData xmlns:go="http://customooxmlschemas.google.com/" r:id="rId8" roundtripDataChecksum="P1ovXODBf5gtuvJ6zGqfGgKqRznllUNMIRLdKcGw+dg="/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2" i="4"/>
  <c r="I3" i="4"/>
  <c r="I4" i="4"/>
  <c r="I5" i="4"/>
  <c r="I6" i="4"/>
  <c r="I7" i="4"/>
  <c r="I2" i="4"/>
  <c r="H3" i="4"/>
  <c r="H4" i="4"/>
  <c r="H5" i="4"/>
  <c r="H6" i="4"/>
  <c r="H7" i="4"/>
  <c r="H2" i="4"/>
  <c r="G3" i="4"/>
  <c r="G4" i="4"/>
  <c r="G5" i="4"/>
  <c r="G6" i="4"/>
  <c r="G7" i="4"/>
  <c r="G2" i="4"/>
  <c r="F3" i="4"/>
  <c r="F4" i="4"/>
  <c r="F5" i="4"/>
  <c r="F6" i="4"/>
  <c r="F7" i="4"/>
  <c r="F2" i="4"/>
  <c r="T3" i="1"/>
  <c r="T4" i="1"/>
  <c r="T5" i="1"/>
  <c r="T6" i="1"/>
  <c r="T7" i="1"/>
  <c r="T8" i="1"/>
  <c r="T9" i="1"/>
  <c r="T2" i="1"/>
  <c r="S3" i="1"/>
  <c r="S4" i="1"/>
  <c r="S5" i="1"/>
  <c r="S6" i="1"/>
  <c r="S7" i="1"/>
  <c r="S8" i="1"/>
  <c r="S9" i="1"/>
  <c r="S2" i="1"/>
  <c r="K13" i="1"/>
  <c r="J14" i="1"/>
  <c r="J13" i="1"/>
  <c r="I14" i="1"/>
  <c r="I13" i="1"/>
  <c r="R3" i="1"/>
  <c r="R4" i="1"/>
  <c r="R5" i="1"/>
  <c r="R6" i="1"/>
  <c r="R7" i="1"/>
  <c r="R8" i="1"/>
  <c r="R9" i="1"/>
  <c r="R2" i="1"/>
  <c r="Q3" i="1"/>
  <c r="Q4" i="1"/>
  <c r="Q5" i="1"/>
  <c r="Q6" i="1"/>
  <c r="Q7" i="1"/>
  <c r="Q8" i="1"/>
  <c r="Q9" i="1"/>
  <c r="Q2" i="1"/>
  <c r="P3" i="1"/>
  <c r="P4" i="1"/>
  <c r="P5" i="1"/>
  <c r="P6" i="1"/>
  <c r="P7" i="1"/>
  <c r="P8" i="1"/>
  <c r="P9" i="1"/>
  <c r="P2" i="1"/>
  <c r="O3" i="1"/>
  <c r="O4" i="1"/>
  <c r="O5" i="1"/>
  <c r="O6" i="1"/>
  <c r="O7" i="1"/>
  <c r="O8" i="1"/>
  <c r="O9" i="1"/>
  <c r="O10" i="1"/>
  <c r="O2" i="1"/>
  <c r="N3" i="1"/>
  <c r="N4" i="1"/>
  <c r="N5" i="1"/>
  <c r="N6" i="1"/>
  <c r="N7" i="1"/>
  <c r="N8" i="1"/>
  <c r="N9" i="1"/>
  <c r="N2" i="1"/>
  <c r="M3" i="1"/>
  <c r="M4" i="1"/>
  <c r="M5" i="1"/>
  <c r="M6" i="1"/>
  <c r="M7" i="1"/>
  <c r="M8" i="1"/>
  <c r="M9" i="1"/>
  <c r="M2" i="1"/>
  <c r="L3" i="1"/>
  <c r="L4" i="1"/>
  <c r="L5" i="1"/>
  <c r="L6" i="1"/>
  <c r="L7" i="1"/>
  <c r="L8" i="1"/>
  <c r="L9" i="1"/>
  <c r="L2" i="1"/>
  <c r="K3" i="1"/>
  <c r="K4" i="1"/>
  <c r="K5" i="1"/>
  <c r="K6" i="1"/>
  <c r="K7" i="1"/>
  <c r="K8" i="1"/>
  <c r="K9" i="1"/>
  <c r="K2" i="1"/>
  <c r="J3" i="1"/>
  <c r="J4" i="1"/>
  <c r="J5" i="1"/>
  <c r="J6" i="1"/>
  <c r="J7" i="1"/>
  <c r="J8" i="1"/>
  <c r="J9" i="1"/>
  <c r="J2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<sst xmlns="http://schemas.openxmlformats.org/spreadsheetml/2006/main" count="144" uniqueCount="132">
  <si>
    <t>Today</t>
  </si>
  <si>
    <t>ID</t>
  </si>
  <si>
    <t>Invoice No.</t>
  </si>
  <si>
    <t>len()</t>
  </si>
  <si>
    <t>Full Name</t>
  </si>
  <si>
    <t>Find the number of characters in the employee's full name.</t>
  </si>
  <si>
    <t>Email ID</t>
  </si>
  <si>
    <t>City</t>
  </si>
  <si>
    <t>upper()</t>
  </si>
  <si>
    <t>Convert the department name to uppercase.</t>
  </si>
  <si>
    <t>Department</t>
  </si>
  <si>
    <t>Employee Code</t>
  </si>
  <si>
    <t>lower()</t>
  </si>
  <si>
    <t>Convert email address into lower case</t>
  </si>
  <si>
    <t>EMP101</t>
  </si>
  <si>
    <t>proper()</t>
  </si>
  <si>
    <t>Convert names into proper case.</t>
  </si>
  <si>
    <t>left()</t>
  </si>
  <si>
    <t>Extract the first 3 characters from the Employee Code.</t>
  </si>
  <si>
    <t>right()</t>
  </si>
  <si>
    <t>Rahul Sharma</t>
  </si>
  <si>
    <t>rahul.sharma@gmail.com</t>
  </si>
  <si>
    <t>Product</t>
  </si>
  <si>
    <t>Quantity</t>
  </si>
  <si>
    <t>Price/Unit</t>
  </si>
  <si>
    <t>Discount %</t>
  </si>
  <si>
    <t>Day</t>
  </si>
  <si>
    <t>Gross Amount</t>
  </si>
  <si>
    <t>Discount Amount</t>
  </si>
  <si>
    <t>Net Amount</t>
  </si>
  <si>
    <t>GST</t>
  </si>
  <si>
    <t>Final Amount</t>
  </si>
  <si>
    <t>Month</t>
  </si>
  <si>
    <t>Year</t>
  </si>
  <si>
    <t>INV101</t>
  </si>
  <si>
    <t>Laptop</t>
  </si>
  <si>
    <r>
      <rPr>
        <sz val="14"/>
        <color theme="1"/>
        <rFont val="Calibri"/>
      </rPr>
      <t xml:space="preserve">Extract the last </t>
    </r>
    <r>
      <rPr>
        <b/>
        <sz val="14"/>
        <color theme="1"/>
        <rFont val="Calibri"/>
      </rPr>
      <t>3 digits</t>
    </r>
    <r>
      <rPr>
        <sz val="14"/>
        <color theme="1"/>
        <rFont val="Calibri"/>
      </rPr>
      <t xml:space="preserve"> of the Employee Code.</t>
    </r>
  </si>
  <si>
    <t>Date Function</t>
  </si>
  <si>
    <t>mid()</t>
  </si>
  <si>
    <t>Extract the city code</t>
  </si>
  <si>
    <t>concat()</t>
  </si>
  <si>
    <t>Create a new Employee Description.</t>
  </si>
  <si>
    <t>First day of the current month</t>
  </si>
  <si>
    <t>First day of the previous month</t>
  </si>
  <si>
    <t>textjoin()</t>
  </si>
  <si>
    <t>Rahul Sharma | Mumbai | Data Analytics</t>
  </si>
  <si>
    <t>Last day of the current month</t>
  </si>
  <si>
    <t>Substitute()</t>
  </si>
  <si>
    <t>Last day of the previous month</t>
  </si>
  <si>
    <t>No. of days between</t>
  </si>
  <si>
    <t>Years between</t>
  </si>
  <si>
    <t>INV102</t>
  </si>
  <si>
    <t>Monitor</t>
  </si>
  <si>
    <t>Now</t>
  </si>
  <si>
    <t>Hour</t>
  </si>
  <si>
    <t>Minutes</t>
  </si>
  <si>
    <t>Seconds</t>
  </si>
  <si>
    <t>INV103</t>
  </si>
  <si>
    <t>Keyboard</t>
  </si>
  <si>
    <r>
      <rPr>
        <sz val="14"/>
        <color theme="1"/>
        <rFont val="Calibri"/>
      </rPr>
      <t xml:space="preserve">Replace </t>
    </r>
    <r>
      <rPr>
        <sz val="10"/>
        <color theme="1"/>
        <rFont val="Arial Unicode MS"/>
      </rPr>
      <t>-</t>
    </r>
    <r>
      <rPr>
        <sz val="11"/>
        <color theme="1"/>
        <rFont val="Calibri"/>
      </rPr>
      <t xml:space="preserve"> with </t>
    </r>
    <r>
      <rPr>
        <sz val="10"/>
        <color theme="1"/>
        <rFont val="Arial Unicode MS"/>
      </rPr>
      <t>/</t>
    </r>
    <r>
      <rPr>
        <sz val="11"/>
        <color theme="1"/>
        <rFont val="Calibri"/>
      </rPr>
      <t xml:space="preserve"> in the employee id's</t>
    </r>
  </si>
  <si>
    <t>Weekdays</t>
  </si>
  <si>
    <t>Replaces specific text</t>
  </si>
  <si>
    <t>Weeknum</t>
  </si>
  <si>
    <t>replace()</t>
  </si>
  <si>
    <t>INV104</t>
  </si>
  <si>
    <t>Mouse</t>
  </si>
  <si>
    <t>Replace a specific portion of text based on position- MUM with THA</t>
  </si>
  <si>
    <t>Replaces based on position</t>
  </si>
  <si>
    <t>trim()</t>
  </si>
  <si>
    <t>EDATE</t>
  </si>
  <si>
    <t>INV105</t>
  </si>
  <si>
    <t>find()</t>
  </si>
  <si>
    <t>INV106</t>
  </si>
  <si>
    <r>
      <rPr>
        <sz val="14"/>
        <color theme="1"/>
        <rFont val="Calibri"/>
      </rPr>
      <t xml:space="preserve">find the position of </t>
    </r>
    <r>
      <rPr>
        <sz val="10"/>
        <color theme="1"/>
        <rFont val="Arial Unicode MS"/>
      </rPr>
      <t>@</t>
    </r>
    <r>
      <rPr>
        <sz val="11"/>
        <color theme="1"/>
        <rFont val="Calibri"/>
      </rPr>
      <t xml:space="preserve"> in the email ID</t>
    </r>
  </si>
  <si>
    <t>START DATE</t>
  </si>
  <si>
    <t>search()</t>
  </si>
  <si>
    <t>EOMONTH</t>
  </si>
  <si>
    <t>Mumbai</t>
  </si>
  <si>
    <t>Data Analytics</t>
  </si>
  <si>
    <t>DA-MUM-101</t>
  </si>
  <si>
    <t>EMP102</t>
  </si>
  <si>
    <t>Priya Mehta</t>
  </si>
  <si>
    <t>priya.mehta@gmail.com</t>
  </si>
  <si>
    <t>Pune</t>
  </si>
  <si>
    <t>Human Resources</t>
  </si>
  <si>
    <t>HR-PUN-102</t>
  </si>
  <si>
    <t>EMP103</t>
  </si>
  <si>
    <t>Amit Kulkarni</t>
  </si>
  <si>
    <t>amit.kulkarni@gmail.com</t>
  </si>
  <si>
    <t>Thane</t>
  </si>
  <si>
    <t>Finance</t>
  </si>
  <si>
    <t>FN-THA-103</t>
  </si>
  <si>
    <t>EMP104</t>
  </si>
  <si>
    <t>Sneha Patil</t>
  </si>
  <si>
    <t>sneha.patil@gmail.com</t>
  </si>
  <si>
    <t>Marketing</t>
  </si>
  <si>
    <t>MK-MUM-104</t>
  </si>
  <si>
    <t>EMP105</t>
  </si>
  <si>
    <t>Rohan Desai</t>
  </si>
  <si>
    <t>rohan.desai@gmail.com</t>
  </si>
  <si>
    <t>Nashik</t>
  </si>
  <si>
    <t>DA-NAS-105</t>
  </si>
  <si>
    <t>EMP106</t>
  </si>
  <si>
    <t>Neha Joshi</t>
  </si>
  <si>
    <t>neha.joshi@gmail.com</t>
  </si>
  <si>
    <t>Operations</t>
  </si>
  <si>
    <t>OP-PUN-106</t>
  </si>
  <si>
    <t>EMP107</t>
  </si>
  <si>
    <t>Karan Shah</t>
  </si>
  <si>
    <t>karan.shah@gmail.com</t>
  </si>
  <si>
    <t>FN-THA-107</t>
  </si>
  <si>
    <t>EMP108</t>
  </si>
  <si>
    <t>Anjali Rao</t>
  </si>
  <si>
    <t>anjali.rao@gmail.com</t>
  </si>
  <si>
    <t>HR-MUM-108</t>
  </si>
  <si>
    <t>LEN()</t>
  </si>
  <si>
    <t>Upper()</t>
  </si>
  <si>
    <t>Lower()</t>
  </si>
  <si>
    <t>Mid()</t>
  </si>
  <si>
    <t>Left()</t>
  </si>
  <si>
    <t>Right()</t>
  </si>
  <si>
    <t>Proper()</t>
  </si>
  <si>
    <t xml:space="preserve">   </t>
  </si>
  <si>
    <t>Concat()</t>
  </si>
  <si>
    <t>&amp;</t>
  </si>
  <si>
    <t>Text join</t>
  </si>
  <si>
    <t>AabbbBbbb</t>
  </si>
  <si>
    <t>Find()</t>
  </si>
  <si>
    <t>Search()</t>
  </si>
  <si>
    <t xml:space="preserve">     Good Morning    </t>
  </si>
  <si>
    <t>Trim()</t>
  </si>
  <si>
    <t>Replace()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</si>
</sst>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scheme val="minor"/>
    </font>
    <font>
      <sz val="14"/>
      <color theme="1"/>
      <name val="Calibri"/>
    </font>
    <font>
      <b/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0"/>
      <color theme="1"/>
      <name val="Arial"/>
    </font>
    <font>
      <sz val="11"/>
      <name val="Calibri"/>
    </font>
    <font>
      <u/>
      <sz val="11"/>
      <color theme="10"/>
      <name val="Calibri"/>
    </font>
    <font>
      <b/>
      <sz val="14"/>
      <color theme="1"/>
      <name val="Calibri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/>
    <xf numFmtId="0" fontId="3" fillId="2" borderId="2" xfId="0" applyFont="1" applyFill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wrapText="1"/>
    </xf>
    <xf numFmtId="0" fontId="3" fillId="2" borderId="4" xfId="0" applyFont="1" applyFill="1" applyBorder="1" applyAlignment="1">
      <alignment horizontal="center" wrapText="1"/>
    </xf>
    <xf numFmtId="0" fontId="5" fillId="0" borderId="5" xfId="0" applyFont="1" applyBorder="1" applyAlignment="1">
      <alignment wrapText="1"/>
    </xf>
    <xf numFmtId="0" fontId="5" fillId="2" borderId="4" xfId="0" applyFont="1" applyFill="1" applyBorder="1" applyAlignment="1">
      <alignment wrapText="1"/>
    </xf>
    <xf numFmtId="3" fontId="4" fillId="0" borderId="1" xfId="0" applyNumberFormat="1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9" fontId="2" fillId="0" borderId="0" xfId="0" applyNumberFormat="1" applyFont="1" applyAlignment="1">
      <alignment horizontal="center"/>
    </xf>
    <xf numFmtId="0" fontId="5" fillId="0" borderId="6" xfId="0" applyFont="1" applyBorder="1" applyAlignment="1">
      <alignment wrapText="1"/>
    </xf>
    <xf numFmtId="0" fontId="3" fillId="2" borderId="5" xfId="0" applyFont="1" applyFill="1" applyBorder="1" applyAlignment="1">
      <alignment horizontal="center" wrapText="1"/>
    </xf>
    <xf numFmtId="0" fontId="4" fillId="0" borderId="1" xfId="0" applyFont="1" applyBorder="1"/>
    <xf numFmtId="0" fontId="5" fillId="0" borderId="4" xfId="0" applyFont="1" applyBorder="1" applyAlignment="1">
      <alignment wrapText="1"/>
    </xf>
    <xf numFmtId="0" fontId="7" fillId="0" borderId="1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wrapText="1"/>
    </xf>
    <xf numFmtId="0" fontId="6" fillId="0" borderId="8" xfId="0" applyFont="1" applyBorder="1"/>
    <xf numFmtId="0" fontId="6" fillId="0" borderId="9" xfId="0" applyFont="1" applyBorder="1"/>
    <xf numFmtId="0" fontId="2" fillId="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0" xfId="0" applyBorder="1"/>
    <xf numFmtId="1" fontId="4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jali.rao@gmail.com" TargetMode="External"/><Relationship Id="rId3" Type="http://schemas.openxmlformats.org/officeDocument/2006/relationships/hyperlink" Target="mailto:amit.kulkarni@gmail.com" TargetMode="External"/><Relationship Id="rId7" Type="http://schemas.openxmlformats.org/officeDocument/2006/relationships/hyperlink" Target="mailto:karan.shah@gmail.com" TargetMode="External"/><Relationship Id="rId2" Type="http://schemas.openxmlformats.org/officeDocument/2006/relationships/hyperlink" Target="mailto:priya.mehta@gmail.com" TargetMode="External"/><Relationship Id="rId1" Type="http://schemas.openxmlformats.org/officeDocument/2006/relationships/hyperlink" Target="mailto:rahul.sharma@gmail.com" TargetMode="External"/><Relationship Id="rId6" Type="http://schemas.openxmlformats.org/officeDocument/2006/relationships/hyperlink" Target="mailto:neha.joshi@gmail.com" TargetMode="External"/><Relationship Id="rId5" Type="http://schemas.openxmlformats.org/officeDocument/2006/relationships/hyperlink" Target="mailto:rohan.desai@gmail.com" TargetMode="External"/><Relationship Id="rId4" Type="http://schemas.openxmlformats.org/officeDocument/2006/relationships/hyperlink" Target="mailto:sneha.patil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00"/>
  <sheetViews>
    <sheetView tabSelected="1" topLeftCell="M1" workbookViewId="0">
      <selection activeCell="S18" sqref="S18"/>
    </sheetView>
  </sheetViews>
  <sheetFormatPr defaultColWidth="14.453125" defaultRowHeight="15" customHeight="1"/>
  <cols>
    <col min="1" max="2" width="15.7265625" customWidth="1"/>
    <col min="3" max="3" width="35.08984375" customWidth="1"/>
    <col min="4" max="5" width="15.7265625" customWidth="1"/>
    <col min="6" max="6" width="22.26953125" customWidth="1"/>
    <col min="7" max="9" width="8.7265625" customWidth="1"/>
    <col min="10" max="10" width="14.36328125" bestFit="1" customWidth="1"/>
    <col min="11" max="11" width="20.1796875" customWidth="1"/>
    <col min="12" max="14" width="8.7265625" customWidth="1"/>
    <col min="15" max="15" width="12.36328125" bestFit="1" customWidth="1"/>
    <col min="16" max="16" width="32.6328125" bestFit="1" customWidth="1"/>
    <col min="17" max="17" width="22" customWidth="1"/>
    <col min="18" max="18" width="33.453125" bestFit="1" customWidth="1"/>
    <col min="19" max="19" width="20.81640625" customWidth="1"/>
    <col min="20" max="20" width="11" bestFit="1" customWidth="1"/>
    <col min="21" max="26" width="8.7265625" customWidth="1"/>
  </cols>
  <sheetData>
    <row r="1" spans="1:20" ht="14.25" customHeight="1">
      <c r="A1" s="2" t="s">
        <v>1</v>
      </c>
      <c r="B1" s="2" t="s">
        <v>4</v>
      </c>
      <c r="C1" s="2" t="s">
        <v>6</v>
      </c>
      <c r="D1" s="2" t="s">
        <v>7</v>
      </c>
      <c r="E1" s="2" t="s">
        <v>10</v>
      </c>
      <c r="F1" s="2" t="s">
        <v>11</v>
      </c>
      <c r="I1" s="21" t="s">
        <v>115</v>
      </c>
      <c r="J1" s="21" t="s">
        <v>116</v>
      </c>
      <c r="K1" s="21" t="s">
        <v>117</v>
      </c>
      <c r="L1" s="21" t="s">
        <v>118</v>
      </c>
      <c r="M1" s="21" t="s">
        <v>119</v>
      </c>
      <c r="N1" s="21" t="s">
        <v>120</v>
      </c>
      <c r="O1" s="21" t="s">
        <v>121</v>
      </c>
      <c r="P1" s="21" t="s">
        <v>123</v>
      </c>
      <c r="Q1" s="21" t="s">
        <v>124</v>
      </c>
      <c r="R1" s="21" t="s">
        <v>125</v>
      </c>
      <c r="S1" s="21" t="s">
        <v>47</v>
      </c>
      <c r="T1" s="21" t="s">
        <v>131</v>
      </c>
    </row>
    <row r="2" spans="1:20" ht="14.25" customHeight="1">
      <c r="A2" s="5" t="s">
        <v>14</v>
      </c>
      <c r="B2" s="5" t="s">
        <v>20</v>
      </c>
      <c r="C2" s="17" t="s">
        <v>21</v>
      </c>
      <c r="D2" s="5" t="s">
        <v>77</v>
      </c>
      <c r="E2" s="5" t="s">
        <v>78</v>
      </c>
      <c r="F2" s="5" t="s">
        <v>79</v>
      </c>
      <c r="I2" s="23">
        <f>LEN(B2)</f>
        <v>12</v>
      </c>
      <c r="J2" s="23" t="str">
        <f>UPPER(B2)</f>
        <v>RAHUL SHARMA</v>
      </c>
      <c r="K2" s="23" t="str">
        <f>LOWER(B2:B9)</f>
        <v>rahul sharma</v>
      </c>
      <c r="L2" s="23" t="str">
        <f>MID(F2,4,3)</f>
        <v>MUM</v>
      </c>
      <c r="M2" s="23" t="str">
        <f>LEFT(F2,2)</f>
        <v>DA</v>
      </c>
      <c r="N2" s="23" t="str">
        <f>RIGHT(F2,3)</f>
        <v>101</v>
      </c>
      <c r="O2" s="22" t="str">
        <f>PROPER(K2)</f>
        <v>Rahul Sharma</v>
      </c>
      <c r="P2" s="22" t="str">
        <f>_xlfn.CONCAT(B2,",",E2,"-",D2)</f>
        <v>Rahul Sharma,Data Analytics-Mumbai</v>
      </c>
      <c r="Q2" s="22" t="str">
        <f>B2&amp;" -"&amp;D2</f>
        <v>Rahul Sharma -Mumbai</v>
      </c>
      <c r="R2" s="22" t="str">
        <f>_xlfn.TEXTJOIN("|",TRUE,B2,D2,E2)</f>
        <v>Rahul Sharma|Mumbai|Data Analytics</v>
      </c>
      <c r="S2" s="22" t="str">
        <f>SUBSTITUTE(F2,"-","|")</f>
        <v>DA|MUM|101</v>
      </c>
      <c r="T2" s="22" t="str">
        <f>REPLACE(F2,4,3,"TNA")</f>
        <v>DA-TNA-101</v>
      </c>
    </row>
    <row r="3" spans="1:20" ht="14.25" customHeight="1">
      <c r="A3" s="5" t="s">
        <v>80</v>
      </c>
      <c r="B3" s="5" t="s">
        <v>81</v>
      </c>
      <c r="C3" s="17" t="s">
        <v>82</v>
      </c>
      <c r="D3" s="5" t="s">
        <v>83</v>
      </c>
      <c r="E3" s="5" t="s">
        <v>84</v>
      </c>
      <c r="F3" s="5" t="s">
        <v>85</v>
      </c>
      <c r="I3" s="23">
        <f t="shared" ref="I3:I9" si="0">LEN(B3)</f>
        <v>11</v>
      </c>
      <c r="J3" s="23" t="str">
        <f t="shared" ref="J3:J9" si="1">UPPER(B3)</f>
        <v>PRIYA MEHTA</v>
      </c>
      <c r="K3" s="23" t="str">
        <f t="shared" ref="K3:K9" si="2">LOWER(B3:B10)</f>
        <v>priya mehta</v>
      </c>
      <c r="L3" s="23" t="str">
        <f t="shared" ref="L3:L9" si="3">MID(F3,4,3)</f>
        <v>PUN</v>
      </c>
      <c r="M3" s="23" t="str">
        <f t="shared" ref="M3:M9" si="4">LEFT(F3,2)</f>
        <v>HR</v>
      </c>
      <c r="N3" s="23" t="str">
        <f t="shared" ref="N3:N9" si="5">RIGHT(F3,3)</f>
        <v>102</v>
      </c>
      <c r="O3" s="22" t="str">
        <f t="shared" ref="O3:O10" si="6">PROPER(K3)</f>
        <v>Priya Mehta</v>
      </c>
      <c r="P3" s="22" t="str">
        <f t="shared" ref="P3:P9" si="7">_xlfn.CONCAT(B3,",",E3,"-",D3)</f>
        <v>Priya Mehta,Human Resources-Pune</v>
      </c>
      <c r="Q3" s="22" t="str">
        <f t="shared" ref="Q3:Q9" si="8">B3&amp;" -"&amp;D3</f>
        <v>Priya Mehta -Pune</v>
      </c>
      <c r="R3" s="22" t="str">
        <f t="shared" ref="R3:R9" si="9">_xlfn.TEXTJOIN("|",TRUE,B3,D3,E3)</f>
        <v>Priya Mehta|Pune|Human Resources</v>
      </c>
      <c r="S3" s="22" t="str">
        <f t="shared" ref="S3:S9" si="10">SUBSTITUTE(F3,"-","|")</f>
        <v>HR|PUN|102</v>
      </c>
      <c r="T3" s="22" t="str">
        <f t="shared" ref="T3:T9" si="11">REPLACE(F3,4,3,"TNA")</f>
        <v>HR-TNA-102</v>
      </c>
    </row>
    <row r="4" spans="1:20" ht="14.25" customHeight="1">
      <c r="A4" s="5" t="s">
        <v>86</v>
      </c>
      <c r="B4" s="5" t="s">
        <v>87</v>
      </c>
      <c r="C4" s="17" t="s">
        <v>88</v>
      </c>
      <c r="D4" s="5" t="s">
        <v>89</v>
      </c>
      <c r="E4" s="5" t="s">
        <v>90</v>
      </c>
      <c r="F4" s="5" t="s">
        <v>91</v>
      </c>
      <c r="I4" s="23">
        <f t="shared" si="0"/>
        <v>13</v>
      </c>
      <c r="J4" s="23" t="str">
        <f t="shared" si="1"/>
        <v>AMIT KULKARNI</v>
      </c>
      <c r="K4" s="23" t="str">
        <f t="shared" si="2"/>
        <v>amit kulkarni</v>
      </c>
      <c r="L4" s="23" t="str">
        <f t="shared" si="3"/>
        <v>THA</v>
      </c>
      <c r="M4" s="23" t="str">
        <f t="shared" si="4"/>
        <v>FN</v>
      </c>
      <c r="N4" s="23" t="str">
        <f t="shared" si="5"/>
        <v>103</v>
      </c>
      <c r="O4" s="22" t="str">
        <f t="shared" si="6"/>
        <v>Amit Kulkarni</v>
      </c>
      <c r="P4" s="22" t="str">
        <f t="shared" si="7"/>
        <v>Amit Kulkarni,Finance-Thane</v>
      </c>
      <c r="Q4" s="22" t="str">
        <f t="shared" si="8"/>
        <v>Amit Kulkarni -Thane</v>
      </c>
      <c r="R4" s="22" t="str">
        <f t="shared" si="9"/>
        <v>Amit Kulkarni|Thane|Finance</v>
      </c>
      <c r="S4" s="22" t="str">
        <f t="shared" si="10"/>
        <v>FN|THA|103</v>
      </c>
      <c r="T4" s="22" t="str">
        <f t="shared" si="11"/>
        <v>FN-TNA-103</v>
      </c>
    </row>
    <row r="5" spans="1:20" ht="14.25" customHeight="1">
      <c r="A5" s="5" t="s">
        <v>92</v>
      </c>
      <c r="B5" s="5" t="s">
        <v>93</v>
      </c>
      <c r="C5" s="17" t="s">
        <v>94</v>
      </c>
      <c r="D5" s="5" t="s">
        <v>77</v>
      </c>
      <c r="E5" s="5" t="s">
        <v>95</v>
      </c>
      <c r="F5" s="5" t="s">
        <v>96</v>
      </c>
      <c r="I5" s="23">
        <f t="shared" si="0"/>
        <v>11</v>
      </c>
      <c r="J5" s="23" t="str">
        <f t="shared" si="1"/>
        <v>SNEHA PATIL</v>
      </c>
      <c r="K5" s="23" t="str">
        <f t="shared" si="2"/>
        <v>sneha patil</v>
      </c>
      <c r="L5" s="23" t="str">
        <f t="shared" si="3"/>
        <v>MUM</v>
      </c>
      <c r="M5" s="23" t="str">
        <f t="shared" si="4"/>
        <v>MK</v>
      </c>
      <c r="N5" s="23" t="str">
        <f t="shared" si="5"/>
        <v>104</v>
      </c>
      <c r="O5" s="22" t="str">
        <f t="shared" si="6"/>
        <v>Sneha Patil</v>
      </c>
      <c r="P5" s="22" t="str">
        <f t="shared" si="7"/>
        <v>Sneha Patil,Marketing-Mumbai</v>
      </c>
      <c r="Q5" s="22" t="str">
        <f t="shared" si="8"/>
        <v>Sneha Patil -Mumbai</v>
      </c>
      <c r="R5" s="22" t="str">
        <f t="shared" si="9"/>
        <v>Sneha Patil|Mumbai|Marketing</v>
      </c>
      <c r="S5" s="22" t="str">
        <f t="shared" si="10"/>
        <v>MK|MUM|104</v>
      </c>
      <c r="T5" s="22" t="str">
        <f t="shared" si="11"/>
        <v>MK-TNA-104</v>
      </c>
    </row>
    <row r="6" spans="1:20" ht="14.25" customHeight="1">
      <c r="A6" s="5" t="s">
        <v>97</v>
      </c>
      <c r="B6" s="5" t="s">
        <v>98</v>
      </c>
      <c r="C6" s="17" t="s">
        <v>99</v>
      </c>
      <c r="D6" s="5" t="s">
        <v>100</v>
      </c>
      <c r="E6" s="5" t="s">
        <v>78</v>
      </c>
      <c r="F6" s="5" t="s">
        <v>101</v>
      </c>
      <c r="I6" s="23">
        <f t="shared" si="0"/>
        <v>11</v>
      </c>
      <c r="J6" s="23" t="str">
        <f t="shared" si="1"/>
        <v>ROHAN DESAI</v>
      </c>
      <c r="K6" s="23" t="str">
        <f t="shared" si="2"/>
        <v>rohan desai</v>
      </c>
      <c r="L6" s="23" t="str">
        <f t="shared" si="3"/>
        <v>NAS</v>
      </c>
      <c r="M6" s="23" t="str">
        <f t="shared" si="4"/>
        <v>DA</v>
      </c>
      <c r="N6" s="23" t="str">
        <f t="shared" si="5"/>
        <v>105</v>
      </c>
      <c r="O6" s="22" t="str">
        <f t="shared" si="6"/>
        <v>Rohan Desai</v>
      </c>
      <c r="P6" s="22" t="str">
        <f t="shared" si="7"/>
        <v>Rohan Desai,Data Analytics-Nashik</v>
      </c>
      <c r="Q6" s="22" t="str">
        <f t="shared" si="8"/>
        <v>Rohan Desai -Nashik</v>
      </c>
      <c r="R6" s="22" t="str">
        <f t="shared" si="9"/>
        <v>Rohan Desai|Nashik|Data Analytics</v>
      </c>
      <c r="S6" s="22" t="str">
        <f t="shared" si="10"/>
        <v>DA|NAS|105</v>
      </c>
      <c r="T6" s="22" t="str">
        <f t="shared" si="11"/>
        <v>DA-TNA-105</v>
      </c>
    </row>
    <row r="7" spans="1:20" ht="14.25" customHeight="1">
      <c r="A7" s="5" t="s">
        <v>102</v>
      </c>
      <c r="B7" s="5" t="s">
        <v>103</v>
      </c>
      <c r="C7" s="17" t="s">
        <v>104</v>
      </c>
      <c r="D7" s="5" t="s">
        <v>83</v>
      </c>
      <c r="E7" s="5" t="s">
        <v>105</v>
      </c>
      <c r="F7" s="5" t="s">
        <v>106</v>
      </c>
      <c r="I7" s="23">
        <f t="shared" si="0"/>
        <v>10</v>
      </c>
      <c r="J7" s="23" t="str">
        <f t="shared" si="1"/>
        <v>NEHA JOSHI</v>
      </c>
      <c r="K7" s="23" t="str">
        <f t="shared" si="2"/>
        <v>neha joshi</v>
      </c>
      <c r="L7" s="23" t="str">
        <f t="shared" si="3"/>
        <v>PUN</v>
      </c>
      <c r="M7" s="23" t="str">
        <f t="shared" si="4"/>
        <v>OP</v>
      </c>
      <c r="N7" s="23" t="str">
        <f t="shared" si="5"/>
        <v>106</v>
      </c>
      <c r="O7" s="22" t="str">
        <f t="shared" si="6"/>
        <v>Neha Joshi</v>
      </c>
      <c r="P7" s="22" t="str">
        <f t="shared" si="7"/>
        <v>Neha Joshi,Operations-Pune</v>
      </c>
      <c r="Q7" s="22" t="str">
        <f t="shared" si="8"/>
        <v>Neha Joshi -Pune</v>
      </c>
      <c r="R7" s="22" t="str">
        <f t="shared" si="9"/>
        <v>Neha Joshi|Pune|Operations</v>
      </c>
      <c r="S7" s="22" t="str">
        <f t="shared" si="10"/>
        <v>OP|PUN|106</v>
      </c>
      <c r="T7" s="22" t="str">
        <f t="shared" si="11"/>
        <v>OP-TNA-106</v>
      </c>
    </row>
    <row r="8" spans="1:20" ht="14.25" customHeight="1">
      <c r="A8" s="5" t="s">
        <v>107</v>
      </c>
      <c r="B8" s="5" t="s">
        <v>108</v>
      </c>
      <c r="C8" s="17" t="s">
        <v>109</v>
      </c>
      <c r="D8" s="5" t="s">
        <v>89</v>
      </c>
      <c r="E8" s="5" t="s">
        <v>90</v>
      </c>
      <c r="F8" s="5" t="s">
        <v>110</v>
      </c>
      <c r="I8" s="23">
        <f t="shared" si="0"/>
        <v>10</v>
      </c>
      <c r="J8" s="23" t="str">
        <f t="shared" si="1"/>
        <v>KARAN SHAH</v>
      </c>
      <c r="K8" s="23" t="str">
        <f t="shared" si="2"/>
        <v>karan shah</v>
      </c>
      <c r="L8" s="23" t="str">
        <f t="shared" si="3"/>
        <v>THA</v>
      </c>
      <c r="M8" s="23" t="str">
        <f t="shared" si="4"/>
        <v>FN</v>
      </c>
      <c r="N8" s="23" t="str">
        <f t="shared" si="5"/>
        <v>107</v>
      </c>
      <c r="O8" s="22" t="str">
        <f t="shared" si="6"/>
        <v>Karan Shah</v>
      </c>
      <c r="P8" s="22" t="str">
        <f t="shared" si="7"/>
        <v>Karan Shah,Finance-Thane</v>
      </c>
      <c r="Q8" s="22" t="str">
        <f t="shared" si="8"/>
        <v>Karan Shah -Thane</v>
      </c>
      <c r="R8" s="22" t="str">
        <f t="shared" si="9"/>
        <v>Karan Shah|Thane|Finance</v>
      </c>
      <c r="S8" s="22" t="str">
        <f t="shared" si="10"/>
        <v>FN|THA|107</v>
      </c>
      <c r="T8" s="22" t="str">
        <f t="shared" si="11"/>
        <v>FN-TNA-107</v>
      </c>
    </row>
    <row r="9" spans="1:20" ht="14.25" customHeight="1">
      <c r="A9" s="5" t="s">
        <v>111</v>
      </c>
      <c r="B9" s="5" t="s">
        <v>112</v>
      </c>
      <c r="C9" s="17" t="s">
        <v>113</v>
      </c>
      <c r="D9" s="5" t="s">
        <v>77</v>
      </c>
      <c r="E9" s="5" t="s">
        <v>84</v>
      </c>
      <c r="F9" s="5" t="s">
        <v>114</v>
      </c>
      <c r="I9" s="23">
        <f t="shared" si="0"/>
        <v>10</v>
      </c>
      <c r="J9" s="23" t="str">
        <f t="shared" si="1"/>
        <v>ANJALI RAO</v>
      </c>
      <c r="K9" s="23" t="str">
        <f t="shared" si="2"/>
        <v>anjali rao</v>
      </c>
      <c r="L9" s="23" t="str">
        <f t="shared" si="3"/>
        <v>MUM</v>
      </c>
      <c r="M9" s="23" t="str">
        <f t="shared" si="4"/>
        <v>HR</v>
      </c>
      <c r="N9" s="23" t="str">
        <f t="shared" si="5"/>
        <v>108</v>
      </c>
      <c r="O9" s="22" t="str">
        <f t="shared" si="6"/>
        <v>Anjali Rao</v>
      </c>
      <c r="P9" s="22" t="str">
        <f t="shared" si="7"/>
        <v>Anjali Rao,Human Resources-Mumbai</v>
      </c>
      <c r="Q9" s="22" t="str">
        <f t="shared" si="8"/>
        <v>Anjali Rao -Mumbai</v>
      </c>
      <c r="R9" s="22" t="str">
        <f t="shared" si="9"/>
        <v>Anjali Rao|Mumbai|Human Resources</v>
      </c>
      <c r="S9" s="22" t="str">
        <f t="shared" si="10"/>
        <v>HR|MUM|108</v>
      </c>
      <c r="T9" s="22" t="str">
        <f t="shared" si="11"/>
        <v>HR-TNA-108</v>
      </c>
    </row>
    <row r="10" spans="1:20" ht="14.25" customHeight="1">
      <c r="I10" s="24"/>
      <c r="J10" s="24"/>
      <c r="K10" s="24"/>
      <c r="L10" s="24"/>
      <c r="M10" s="24"/>
      <c r="N10" s="24"/>
      <c r="O10" s="24" t="str">
        <f t="shared" si="6"/>
        <v/>
      </c>
    </row>
    <row r="11" spans="1:20" ht="14.25" customHeight="1"/>
    <row r="12" spans="1:20" ht="14.25" customHeight="1">
      <c r="I12" s="22" t="s">
        <v>127</v>
      </c>
      <c r="J12" s="22" t="s">
        <v>128</v>
      </c>
      <c r="K12" s="22" t="s">
        <v>130</v>
      </c>
    </row>
    <row r="13" spans="1:20" ht="14.25" customHeight="1">
      <c r="F13" t="s">
        <v>126</v>
      </c>
      <c r="I13" s="22">
        <f>FIND("B",F13)</f>
        <v>6</v>
      </c>
      <c r="J13" s="22">
        <f>SEARCH("b",F13)</f>
        <v>3</v>
      </c>
      <c r="K13" s="22" t="str">
        <f>TRIM(F15)</f>
        <v>Good Morning</v>
      </c>
    </row>
    <row r="14" spans="1:20" ht="14.25" customHeight="1">
      <c r="F14" t="s">
        <v>126</v>
      </c>
      <c r="I14" s="22">
        <f>FIND("B",F14)</f>
        <v>6</v>
      </c>
      <c r="J14" s="22">
        <f>SEARCH("b",F14)</f>
        <v>3</v>
      </c>
      <c r="K14" s="22"/>
    </row>
    <row r="15" spans="1:20" ht="14.25" customHeight="1">
      <c r="F15" t="s">
        <v>129</v>
      </c>
    </row>
    <row r="16" spans="1:20" ht="14.25" customHeight="1"/>
    <row r="17" spans="11:11" ht="14.25" customHeight="1"/>
    <row r="18" spans="11:11" ht="14.25" customHeight="1"/>
    <row r="19" spans="11:11" ht="14.25" customHeight="1">
      <c r="K19" t="s">
        <v>122</v>
      </c>
    </row>
    <row r="20" spans="11:11" ht="14.25" customHeight="1"/>
    <row r="21" spans="11:11" ht="14.25" customHeight="1"/>
    <row r="22" spans="11:11" ht="14.25" customHeight="1"/>
    <row r="23" spans="11:11" ht="14.25" customHeight="1"/>
    <row r="24" spans="11:11" ht="14.25" customHeight="1"/>
    <row r="25" spans="11:11" ht="14.25" customHeight="1"/>
    <row r="26" spans="11:11" ht="14.25" customHeight="1"/>
    <row r="27" spans="11:11" ht="14.25" customHeight="1"/>
    <row r="28" spans="11:11" ht="14.25" customHeight="1"/>
    <row r="29" spans="11:11" ht="14.25" customHeight="1"/>
    <row r="30" spans="11:11" ht="14.25" customHeight="1"/>
    <row r="31" spans="11:11" ht="14.25" customHeight="1"/>
    <row r="32" spans="11:11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1000"/>
  <sheetViews>
    <sheetView workbookViewId="0"/>
  </sheetViews>
  <sheetFormatPr defaultColWidth="14.453125" defaultRowHeight="15" customHeight="1"/>
  <cols>
    <col min="1" max="2" width="8.7265625" customWidth="1"/>
    <col min="3" max="3" width="13.26953125" customWidth="1"/>
    <col min="4" max="4" width="72.26953125" customWidth="1"/>
    <col min="5" max="5" width="8.7265625" customWidth="1"/>
    <col min="6" max="6" width="29.26953125" customWidth="1"/>
    <col min="7" max="26" width="8.7265625" customWidth="1"/>
  </cols>
  <sheetData>
    <row r="1" spans="2:6" ht="14.25" customHeight="1"/>
    <row r="2" spans="2:6" ht="14.25" customHeight="1">
      <c r="B2" s="1">
        <v>1</v>
      </c>
      <c r="C2" s="3" t="s">
        <v>3</v>
      </c>
      <c r="D2" s="3" t="s">
        <v>5</v>
      </c>
    </row>
    <row r="3" spans="2:6" ht="14.25" customHeight="1">
      <c r="B3" s="1">
        <v>2</v>
      </c>
      <c r="C3" s="3" t="s">
        <v>8</v>
      </c>
      <c r="D3" s="3" t="s">
        <v>9</v>
      </c>
    </row>
    <row r="4" spans="2:6" ht="14.25" customHeight="1">
      <c r="B4" s="1">
        <v>3</v>
      </c>
      <c r="C4" s="3" t="s">
        <v>12</v>
      </c>
      <c r="D4" s="3" t="s">
        <v>13</v>
      </c>
    </row>
    <row r="5" spans="2:6" ht="14.25" customHeight="1">
      <c r="B5" s="1">
        <v>4</v>
      </c>
      <c r="C5" s="3" t="s">
        <v>15</v>
      </c>
      <c r="D5" s="3" t="s">
        <v>16</v>
      </c>
    </row>
    <row r="6" spans="2:6" ht="14.25" customHeight="1">
      <c r="B6" s="1">
        <v>5</v>
      </c>
      <c r="C6" s="3" t="s">
        <v>17</v>
      </c>
      <c r="D6" s="3" t="s">
        <v>18</v>
      </c>
    </row>
    <row r="7" spans="2:6" ht="14.25" customHeight="1">
      <c r="B7" s="1">
        <v>6</v>
      </c>
      <c r="C7" s="3" t="s">
        <v>19</v>
      </c>
      <c r="D7" s="3" t="s">
        <v>36</v>
      </c>
    </row>
    <row r="8" spans="2:6" ht="14.25" customHeight="1">
      <c r="B8" s="1">
        <v>7</v>
      </c>
      <c r="C8" s="3" t="s">
        <v>38</v>
      </c>
      <c r="D8" s="3" t="s">
        <v>39</v>
      </c>
    </row>
    <row r="9" spans="2:6" ht="14.25" customHeight="1">
      <c r="B9" s="1">
        <v>8</v>
      </c>
      <c r="C9" s="3" t="s">
        <v>40</v>
      </c>
      <c r="D9" s="3" t="s">
        <v>41</v>
      </c>
    </row>
    <row r="10" spans="2:6" ht="14.25" customHeight="1">
      <c r="B10" s="1">
        <v>9</v>
      </c>
      <c r="C10" s="3" t="s">
        <v>44</v>
      </c>
      <c r="D10" s="3" t="s">
        <v>45</v>
      </c>
    </row>
    <row r="11" spans="2:6" ht="14.25" customHeight="1">
      <c r="B11" s="1">
        <v>10</v>
      </c>
      <c r="C11" s="3" t="s">
        <v>47</v>
      </c>
      <c r="D11" s="3" t="s">
        <v>59</v>
      </c>
      <c r="F11" s="3" t="s">
        <v>61</v>
      </c>
    </row>
    <row r="12" spans="2:6" ht="14.25" customHeight="1">
      <c r="B12" s="1">
        <v>11</v>
      </c>
      <c r="C12" s="3" t="s">
        <v>63</v>
      </c>
      <c r="D12" s="3" t="s">
        <v>66</v>
      </c>
      <c r="F12" s="3" t="s">
        <v>67</v>
      </c>
    </row>
    <row r="13" spans="2:6" ht="14.25" customHeight="1">
      <c r="B13" s="1">
        <v>12</v>
      </c>
      <c r="C13" s="3" t="s">
        <v>68</v>
      </c>
      <c r="D13" s="3"/>
    </row>
    <row r="14" spans="2:6" ht="14.25" customHeight="1">
      <c r="B14" s="1">
        <v>13</v>
      </c>
      <c r="C14" s="3" t="s">
        <v>71</v>
      </c>
      <c r="D14" s="3" t="s">
        <v>73</v>
      </c>
    </row>
    <row r="15" spans="2:6" ht="14.25" customHeight="1">
      <c r="B15" s="1">
        <v>14</v>
      </c>
      <c r="C15" s="3" t="s">
        <v>75</v>
      </c>
      <c r="D15" s="15"/>
    </row>
    <row r="16" spans="2: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H1:J1000"/>
  <sheetViews>
    <sheetView workbookViewId="0"/>
  </sheetViews>
  <sheetFormatPr defaultColWidth="14.453125" defaultRowHeight="15" customHeight="1"/>
  <cols>
    <col min="1" max="7" width="8.7265625" customWidth="1"/>
    <col min="8" max="8" width="33.26953125" customWidth="1"/>
    <col min="9" max="9" width="14.08984375" customWidth="1"/>
    <col min="10" max="10" width="12.81640625" customWidth="1"/>
    <col min="11" max="26" width="8.7265625" customWidth="1"/>
  </cols>
  <sheetData>
    <row r="1" spans="8:10" ht="14.25" customHeight="1"/>
    <row r="2" spans="8:10" ht="15" customHeight="1">
      <c r="H2" s="4" t="s">
        <v>0</v>
      </c>
      <c r="I2" s="6"/>
      <c r="J2" s="6"/>
    </row>
    <row r="3" spans="8:10" ht="15" customHeight="1">
      <c r="H3" s="7" t="s">
        <v>26</v>
      </c>
      <c r="I3" s="8"/>
      <c r="J3" s="8"/>
    </row>
    <row r="4" spans="8:10" ht="15" customHeight="1">
      <c r="H4" s="7" t="s">
        <v>32</v>
      </c>
      <c r="I4" s="8"/>
      <c r="J4" s="8"/>
    </row>
    <row r="5" spans="8:10" ht="15" customHeight="1">
      <c r="H5" s="7" t="s">
        <v>33</v>
      </c>
      <c r="I5" s="8"/>
      <c r="J5" s="8"/>
    </row>
    <row r="6" spans="8:10" ht="15" customHeight="1">
      <c r="H6" s="9"/>
      <c r="I6" s="8"/>
      <c r="J6" s="8"/>
    </row>
    <row r="7" spans="8:10" ht="15" customHeight="1">
      <c r="H7" s="7" t="s">
        <v>37</v>
      </c>
      <c r="I7" s="8"/>
      <c r="J7" s="8"/>
    </row>
    <row r="8" spans="8:10" ht="15" customHeight="1">
      <c r="H8" s="9"/>
      <c r="I8" s="8"/>
      <c r="J8" s="8"/>
    </row>
    <row r="9" spans="8:10" ht="15" customHeight="1">
      <c r="H9" s="9"/>
      <c r="I9" s="8"/>
      <c r="J9" s="8"/>
    </row>
    <row r="10" spans="8:10" ht="15" customHeight="1">
      <c r="H10" s="9"/>
      <c r="I10" s="8"/>
      <c r="J10" s="8"/>
    </row>
    <row r="11" spans="8:10" ht="15" customHeight="1">
      <c r="H11" s="7" t="s">
        <v>42</v>
      </c>
      <c r="I11" s="8"/>
      <c r="J11" s="8"/>
    </row>
    <row r="12" spans="8:10" ht="15" customHeight="1">
      <c r="H12" s="7" t="s">
        <v>43</v>
      </c>
      <c r="I12" s="8"/>
      <c r="J12" s="8"/>
    </row>
    <row r="13" spans="8:10" ht="15" customHeight="1">
      <c r="H13" s="9"/>
      <c r="I13" s="8"/>
      <c r="J13" s="8"/>
    </row>
    <row r="14" spans="8:10" ht="15" customHeight="1">
      <c r="H14" s="7" t="s">
        <v>46</v>
      </c>
      <c r="I14" s="8"/>
      <c r="J14" s="8"/>
    </row>
    <row r="15" spans="8:10" ht="15" customHeight="1">
      <c r="H15" s="7" t="s">
        <v>48</v>
      </c>
      <c r="I15" s="8"/>
      <c r="J15" s="8"/>
    </row>
    <row r="16" spans="8:10" ht="15" customHeight="1">
      <c r="H16" s="9"/>
      <c r="I16" s="8"/>
      <c r="J16" s="8"/>
    </row>
    <row r="17" spans="8:10" ht="15" customHeight="1">
      <c r="H17" s="7" t="s">
        <v>49</v>
      </c>
      <c r="I17" s="8"/>
      <c r="J17" s="8"/>
    </row>
    <row r="18" spans="8:10" ht="15" customHeight="1">
      <c r="H18" s="7" t="s">
        <v>50</v>
      </c>
      <c r="I18" s="8"/>
      <c r="J18" s="8"/>
    </row>
    <row r="19" spans="8:10" ht="15" customHeight="1">
      <c r="H19" s="9"/>
      <c r="I19" s="8"/>
      <c r="J19" s="8"/>
    </row>
    <row r="20" spans="8:10" ht="15" customHeight="1">
      <c r="H20" s="7" t="s">
        <v>53</v>
      </c>
      <c r="I20" s="8"/>
      <c r="J20" s="8"/>
    </row>
    <row r="21" spans="8:10" ht="15" customHeight="1">
      <c r="H21" s="7" t="s">
        <v>54</v>
      </c>
      <c r="I21" s="8"/>
      <c r="J21" s="8"/>
    </row>
    <row r="22" spans="8:10" ht="15" customHeight="1">
      <c r="H22" s="7" t="s">
        <v>55</v>
      </c>
      <c r="I22" s="8"/>
      <c r="J22" s="8"/>
    </row>
    <row r="23" spans="8:10" ht="15" customHeight="1">
      <c r="H23" s="7" t="s">
        <v>56</v>
      </c>
      <c r="I23" s="8"/>
      <c r="J23" s="8"/>
    </row>
    <row r="24" spans="8:10" ht="15" customHeight="1">
      <c r="H24" s="9"/>
      <c r="I24" s="8"/>
      <c r="J24" s="8"/>
    </row>
    <row r="25" spans="8:10" ht="15" customHeight="1">
      <c r="H25" s="7" t="s">
        <v>60</v>
      </c>
      <c r="I25" s="8"/>
      <c r="J25" s="8"/>
    </row>
    <row r="26" spans="8:10" ht="15" customHeight="1">
      <c r="H26" s="7" t="s">
        <v>62</v>
      </c>
      <c r="I26" s="8"/>
      <c r="J26" s="8"/>
    </row>
    <row r="27" spans="8:10" ht="15" customHeight="1">
      <c r="H27" s="13"/>
      <c r="I27" s="13"/>
      <c r="J27" s="13"/>
    </row>
    <row r="28" spans="8:10" ht="15" customHeight="1">
      <c r="H28" s="18" t="s">
        <v>69</v>
      </c>
      <c r="I28" s="19"/>
      <c r="J28" s="20"/>
    </row>
    <row r="29" spans="8:10" ht="15" customHeight="1">
      <c r="H29" s="13"/>
      <c r="I29" s="13"/>
      <c r="J29" s="13"/>
    </row>
    <row r="30" spans="8:10" ht="15" customHeight="1">
      <c r="H30" s="7" t="s">
        <v>74</v>
      </c>
      <c r="I30" s="14" t="s">
        <v>76</v>
      </c>
      <c r="J30" s="14" t="s">
        <v>69</v>
      </c>
    </row>
    <row r="31" spans="8:10" ht="15" customHeight="1">
      <c r="H31" s="16"/>
      <c r="I31" s="8"/>
      <c r="J31" s="8"/>
    </row>
    <row r="32" spans="8:10" ht="15" customHeight="1">
      <c r="H32" s="16"/>
      <c r="I32" s="8"/>
      <c r="J32" s="8"/>
    </row>
    <row r="33" spans="8:10" ht="15" customHeight="1">
      <c r="H33" s="16"/>
      <c r="I33" s="8"/>
      <c r="J33" s="8"/>
    </row>
    <row r="34" spans="8:10" ht="15" customHeight="1">
      <c r="H34" s="16"/>
      <c r="I34" s="8"/>
      <c r="J34" s="8"/>
    </row>
    <row r="35" spans="8:10" ht="15" customHeight="1">
      <c r="H35" s="16"/>
      <c r="I35" s="8"/>
      <c r="J35" s="8"/>
    </row>
    <row r="36" spans="8:10" ht="14.25" customHeight="1"/>
    <row r="37" spans="8:10" ht="14.25" customHeight="1"/>
    <row r="38" spans="8:10" ht="14.25" customHeight="1"/>
    <row r="39" spans="8:10" ht="14.25" customHeight="1"/>
    <row r="40" spans="8:10" ht="14.25" customHeight="1"/>
    <row r="41" spans="8:10" ht="14.25" customHeight="1"/>
    <row r="42" spans="8:10" ht="14.25" customHeight="1"/>
    <row r="43" spans="8:10" ht="14.25" customHeight="1"/>
    <row r="44" spans="8:10" ht="14.25" customHeight="1"/>
    <row r="45" spans="8:10" ht="14.25" customHeight="1"/>
    <row r="46" spans="8:10" ht="14.25" customHeight="1"/>
    <row r="47" spans="8:10" ht="14.25" customHeight="1"/>
    <row r="48" spans="8:10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H28:J28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00"/>
  <sheetViews>
    <sheetView topLeftCell="C1" workbookViewId="0">
      <selection activeCell="I8" sqref="I8"/>
    </sheetView>
  </sheetViews>
  <sheetFormatPr defaultColWidth="14.453125" defaultRowHeight="15" customHeight="1"/>
  <cols>
    <col min="1" max="10" width="15.7265625" customWidth="1"/>
    <col min="11" max="26" width="8.7265625" customWidth="1"/>
  </cols>
  <sheetData>
    <row r="1" spans="1:13" ht="14.25" customHeight="1">
      <c r="A1" s="2" t="s">
        <v>2</v>
      </c>
      <c r="B1" s="2" t="s">
        <v>22</v>
      </c>
      <c r="C1" s="2" t="s">
        <v>23</v>
      </c>
      <c r="D1" s="2" t="s">
        <v>24</v>
      </c>
      <c r="E1" s="2" t="s">
        <v>25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</row>
    <row r="2" spans="1:13" ht="14.25" customHeight="1">
      <c r="A2" s="5" t="s">
        <v>34</v>
      </c>
      <c r="B2" s="5" t="s">
        <v>35</v>
      </c>
      <c r="C2" s="5">
        <v>3</v>
      </c>
      <c r="D2" s="10">
        <v>55000</v>
      </c>
      <c r="E2" s="11">
        <v>0.05</v>
      </c>
      <c r="F2" s="5">
        <f>C2*D2</f>
        <v>165000</v>
      </c>
      <c r="G2" s="25">
        <f>F2*E2</f>
        <v>8250</v>
      </c>
      <c r="H2" s="25">
        <f>F2-G2</f>
        <v>156750</v>
      </c>
      <c r="I2" s="5">
        <f>H2*$M$2</f>
        <v>28215</v>
      </c>
      <c r="J2" s="25">
        <f>H2+I2</f>
        <v>184965</v>
      </c>
      <c r="M2" s="12">
        <v>0.18</v>
      </c>
    </row>
    <row r="3" spans="1:13" ht="14.25" customHeight="1">
      <c r="A3" s="5" t="s">
        <v>51</v>
      </c>
      <c r="B3" s="5" t="s">
        <v>52</v>
      </c>
      <c r="C3" s="5">
        <v>5</v>
      </c>
      <c r="D3" s="10">
        <v>18000</v>
      </c>
      <c r="E3" s="11">
        <v>0.08</v>
      </c>
      <c r="F3" s="5">
        <f t="shared" ref="F3:F7" si="0">C3*D3</f>
        <v>90000</v>
      </c>
      <c r="G3" s="25">
        <f t="shared" ref="G3:G7" si="1">F3*E3</f>
        <v>7200</v>
      </c>
      <c r="H3" s="25">
        <f t="shared" ref="H3:H7" si="2">F3-G3</f>
        <v>82800</v>
      </c>
      <c r="I3" s="5">
        <f t="shared" ref="I3:I7" si="3">H3*$M$2</f>
        <v>14904</v>
      </c>
      <c r="J3" s="25">
        <f t="shared" ref="J3:J7" si="4">H3+I3</f>
        <v>97704</v>
      </c>
    </row>
    <row r="4" spans="1:13" ht="14.25" customHeight="1">
      <c r="A4" s="5" t="s">
        <v>57</v>
      </c>
      <c r="B4" s="5" t="s">
        <v>58</v>
      </c>
      <c r="C4" s="5">
        <v>10</v>
      </c>
      <c r="D4" s="10">
        <v>2500</v>
      </c>
      <c r="E4" s="11">
        <v>0.05</v>
      </c>
      <c r="F4" s="5">
        <f t="shared" si="0"/>
        <v>25000</v>
      </c>
      <c r="G4" s="25">
        <f t="shared" si="1"/>
        <v>1250</v>
      </c>
      <c r="H4" s="25">
        <f t="shared" si="2"/>
        <v>23750</v>
      </c>
      <c r="I4" s="5">
        <f t="shared" si="3"/>
        <v>4275</v>
      </c>
      <c r="J4" s="25">
        <f t="shared" si="4"/>
        <v>28025</v>
      </c>
    </row>
    <row r="5" spans="1:13" ht="14.25" customHeight="1">
      <c r="A5" s="5" t="s">
        <v>64</v>
      </c>
      <c r="B5" s="5" t="s">
        <v>65</v>
      </c>
      <c r="C5" s="5">
        <v>15</v>
      </c>
      <c r="D5" s="10">
        <v>1200</v>
      </c>
      <c r="E5" s="11">
        <v>0.1</v>
      </c>
      <c r="F5" s="5">
        <f t="shared" si="0"/>
        <v>18000</v>
      </c>
      <c r="G5" s="25">
        <f t="shared" si="1"/>
        <v>1800</v>
      </c>
      <c r="H5" s="25">
        <f t="shared" si="2"/>
        <v>16200</v>
      </c>
      <c r="I5" s="5">
        <f t="shared" si="3"/>
        <v>2916</v>
      </c>
      <c r="J5" s="25">
        <f t="shared" si="4"/>
        <v>19116</v>
      </c>
    </row>
    <row r="6" spans="1:13" ht="14.25" customHeight="1">
      <c r="A6" s="5" t="s">
        <v>70</v>
      </c>
      <c r="B6" s="5" t="s">
        <v>35</v>
      </c>
      <c r="C6" s="5">
        <v>2</v>
      </c>
      <c r="D6" s="10">
        <v>55000</v>
      </c>
      <c r="E6" s="11">
        <v>7.0000000000000007E-2</v>
      </c>
      <c r="F6" s="5">
        <f t="shared" si="0"/>
        <v>110000</v>
      </c>
      <c r="G6" s="25">
        <f t="shared" si="1"/>
        <v>7700.0000000000009</v>
      </c>
      <c r="H6" s="25">
        <f t="shared" si="2"/>
        <v>102300</v>
      </c>
      <c r="I6" s="5">
        <f t="shared" si="3"/>
        <v>18414</v>
      </c>
      <c r="J6" s="25">
        <f t="shared" si="4"/>
        <v>120714</v>
      </c>
    </row>
    <row r="7" spans="1:13" ht="14.25" customHeight="1">
      <c r="A7" s="5" t="s">
        <v>72</v>
      </c>
      <c r="B7" s="5" t="s">
        <v>52</v>
      </c>
      <c r="C7" s="5">
        <v>7</v>
      </c>
      <c r="D7" s="10">
        <v>18000</v>
      </c>
      <c r="E7" s="11">
        <v>0.05</v>
      </c>
      <c r="F7" s="5">
        <f t="shared" si="0"/>
        <v>126000</v>
      </c>
      <c r="G7" s="25">
        <f t="shared" si="1"/>
        <v>6300</v>
      </c>
      <c r="H7" s="25">
        <f t="shared" si="2"/>
        <v>119700</v>
      </c>
      <c r="I7" s="5">
        <f t="shared" si="3"/>
        <v>21546</v>
      </c>
      <c r="J7" s="25">
        <f t="shared" si="4"/>
        <v>141246</v>
      </c>
    </row>
    <row r="8" spans="1:13" ht="14.25" customHeight="1"/>
    <row r="9" spans="1:13" ht="14.25" customHeight="1"/>
    <row r="10" spans="1:13" ht="14.25" customHeight="1"/>
    <row r="11" spans="1:13" ht="14.25" customHeight="1"/>
    <row r="12" spans="1:13" ht="14.25" customHeight="1"/>
    <row r="13" spans="1:13" ht="14.25" customHeight="1"/>
    <row r="14" spans="1:13" ht="14.25" customHeight="1"/>
    <row r="15" spans="1:13" ht="14.25" customHeight="1"/>
    <row r="16" spans="1:1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String questions</vt:lpstr>
      <vt:lpstr>Date Functions</vt:lpstr>
      <vt:lpstr>Formula Referencing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Prachiti sonawane</dc:creator>
  <cp:lastModifiedBy>MIHIR VAITY</cp:lastModifiedBy>
  <dcterms:created xsi:type="dcterms:W3CDTF">2026-10-05T16:17:30Z</dcterms:created>
  <dcterms:modified xsi:type="dcterms:W3CDTF">2026-10-06T05:19:44Z</dcterms:modified>
</cp:coreProperties>
</file>