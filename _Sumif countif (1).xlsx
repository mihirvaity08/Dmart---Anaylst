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HIR\Desktop\Excel Dmart data Analyst\"/>
    </mc:Choice>
  </mc:AlternateContent>
  <xr:revisionPtr revIDLastSave="0" documentId="13_ncr:1_{4CBB3003-F5EA-46FA-B88C-F3CE9AC184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if practice-1" sheetId="3" r:id="rId1"/>
    <sheet name="sumif practice - 2" sheetId="4" r:id="rId2"/>
    <sheet name="sumifs-1" sheetId="5" r:id="rId3"/>
    <sheet name="sumifs-2" sheetId="6" r:id="rId4"/>
  </sheets>
  <definedNames>
    <definedName name="_xlnm._FilterDatabase" localSheetId="0" hidden="1">'sumif practice-1'!$D$3:$G$13</definedName>
  </definedNames>
  <calcPr calcId="191029"/>
  <extLst>
    <ext uri="GoogleSheetsCustomDataVersion2">
      <go:sheetsCustomData xmlns:go="http://customooxmlschemas.google.com/" r:id="rId10" roundtripDataChecksum="tAnYshO51ca8pZwlrvmm1SlfuSjX3AjlkwS7KYITHX4="/>
    </ext>
  </extLst>
</workbook>
</file>

<file path=xl/calcChain.xml><?xml version="1.0" encoding="utf-8"?>
<calcChain xmlns="http://schemas.openxmlformats.org/spreadsheetml/2006/main">
  <c r="I23" i="3" l="1"/>
  <c r="I22" i="3"/>
  <c r="I20" i="3"/>
  <c r="I18" i="3"/>
  <c r="I17" i="3"/>
</calcChain>
</file>

<file path=xl/sharedStrings.xml><?xml version="1.0" encoding="utf-8"?>
<sst xmlns="http://schemas.openxmlformats.org/spreadsheetml/2006/main" count="223" uniqueCount="157">
  <si>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</si>
  <si>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</si>
  <si>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</si>
  <si>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</si>
  <si>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</si>
  <si>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</si>
  <si>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</si>
  <si>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</si>
  <si>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</si>
  <si>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</si>
  <si>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</si>
  <si>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</si>
  <si>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</si>
  <si>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</si>
  <si>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</si>
  <si>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</si>
  <si>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</si>
  <si>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</si>
  <si>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</si>
  <si>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</si>
  <si>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</si>
  <si>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</si>
  <si>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</si>
  <si>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</si>
  <si>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</si>
  <si>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</si>
  <si>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</si>
  <si>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</si>
  <si>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</si>
  <si>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</si>
  <si>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</si>
  <si>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</si>
  <si>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</si>
  <si>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</si>
  <si>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</si>
  <si>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</si>
  <si>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</si>
  <si>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</si>
  <si>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</si>
  <si>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</si>
  <si>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</si>
  <si>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</si>
  <si>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</si>
  <si>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</si>
  <si>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</si>
  <si>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</si>
  <si>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</si>
  <si>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</si>
  <si>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</si>
  <si>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</si>
  <si>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</si>
  <si>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</si>
  <si>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</si>
  <si>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</si>
  <si>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</si>
  <si>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</si>
  <si>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Refrigerator</t>
  </si>
  <si>
    <t>Microwave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</si>
  <si>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</si>
  <si>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</si>
  <si>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</si>
  <si>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</si>
  <si>
    <t>Below is the list of top 30 countries in the world by Population.</t>
  </si>
  <si>
    <t>Answer the following questions:</t>
  </si>
  <si>
    <t>What is the total population of people living in Europe and using EUR as their currency?</t>
  </si>
  <si>
    <t>What is the total population of people living in Asia in countries that have a GDP (Billions) &gt; 1,000?</t>
  </si>
  <si>
    <t>Continent</t>
  </si>
  <si>
    <t>Official/Primary Language</t>
  </si>
  <si>
    <t>Population</t>
  </si>
  <si>
    <t>Area (Square KM)</t>
  </si>
  <si>
    <t>Currency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</si>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</sst>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u/>
      <sz val="10"/>
      <color rgb="FF374151"/>
      <name val="Calibri"/>
    </font>
    <font>
      <sz val="10"/>
      <color rgb="FF374151"/>
      <name val="Calibri"/>
    </font>
    <font>
      <b/>
      <u/>
      <sz val="10"/>
      <color theme="1"/>
      <name val="Calibri"/>
    </font>
    <font>
      <sz val="10"/>
      <color rgb="FF343541"/>
      <name val="Calibri"/>
    </font>
    <font>
      <b/>
      <u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3" fontId="1" fillId="0" borderId="5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2" borderId="5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wrapText="1"/>
    </xf>
    <xf numFmtId="0" fontId="7" fillId="0" borderId="1" xfId="0" applyFont="1" applyBorder="1" applyAlignment="1">
      <alignment vertical="center"/>
    </xf>
    <xf numFmtId="0" fontId="8" fillId="0" borderId="4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9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vertical="center"/>
    </xf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3" fillId="4" borderId="16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3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2" fillId="0" borderId="8" xfId="0" applyFont="1" applyBorder="1"/>
    <xf numFmtId="0" fontId="1" fillId="0" borderId="2" xfId="0" applyFont="1" applyBorder="1" applyAlignment="1">
      <alignment wrapText="1"/>
    </xf>
    <xf numFmtId="0" fontId="2" fillId="0" borderId="3" xfId="0" applyFont="1" applyBorder="1"/>
    <xf numFmtId="0" fontId="1" fillId="0" borderId="9" xfId="0" applyFont="1" applyBorder="1" applyAlignment="1">
      <alignment wrapText="1"/>
    </xf>
    <xf numFmtId="0" fontId="2" fillId="0" borderId="10" xfId="0" applyFont="1" applyBorder="1"/>
    <xf numFmtId="0" fontId="1" fillId="0" borderId="11" xfId="0" applyFont="1" applyBorder="1" applyAlignment="1">
      <alignment wrapText="1"/>
    </xf>
    <xf numFmtId="0" fontId="2" fillId="0" borderId="12" xfId="0" applyFont="1" applyBorder="1"/>
    <xf numFmtId="0" fontId="10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K1000"/>
  <sheetViews>
    <sheetView tabSelected="1" topLeftCell="A9" zoomScale="84" workbookViewId="0">
      <selection activeCell="G29" sqref="G29"/>
    </sheetView>
  </sheetViews>
  <sheetFormatPr defaultColWidth="14.453125" defaultRowHeight="15" customHeight="1"/>
  <cols>
    <col min="1" max="2" width="8.7265625" customWidth="1"/>
    <col min="3" max="3" width="15.54296875" customWidth="1"/>
    <col min="4" max="4" width="32.81640625" customWidth="1"/>
    <col min="5" max="5" width="13.08984375" bestFit="1" customWidth="1"/>
    <col min="6" max="6" width="17.6328125" bestFit="1" customWidth="1"/>
    <col min="7" max="7" width="21.453125" bestFit="1" customWidth="1"/>
    <col min="8" max="11" width="15.54296875" customWidth="1"/>
    <col min="12" max="26" width="8.7265625" customWidth="1"/>
  </cols>
  <sheetData>
    <row r="1" spans="3:11" ht="14.25" customHeight="1"/>
    <row r="2" spans="3:11" ht="14.25" customHeight="1">
      <c r="C2" s="1"/>
      <c r="D2" s="2"/>
      <c r="E2" s="2"/>
      <c r="F2" s="2"/>
      <c r="G2" s="2"/>
      <c r="H2" s="1"/>
      <c r="I2" s="1"/>
      <c r="J2" s="1"/>
      <c r="K2" s="1"/>
    </row>
    <row r="3" spans="3:11" ht="14.25" customHeight="1">
      <c r="C3" s="4"/>
      <c r="D3" s="5" t="s">
        <v>0</v>
      </c>
      <c r="E3" s="5" t="s">
        <v>1</v>
      </c>
      <c r="F3" s="5" t="s">
        <v>2</v>
      </c>
      <c r="G3" s="5" t="s">
        <v>3</v>
      </c>
      <c r="H3" s="1"/>
      <c r="I3" s="1"/>
      <c r="J3" s="1"/>
      <c r="K3" s="1"/>
    </row>
    <row r="4" spans="3:11" ht="14.25" customHeight="1">
      <c r="C4" s="4"/>
      <c r="D4" s="6">
        <v>1</v>
      </c>
      <c r="E4" s="7">
        <v>8000</v>
      </c>
      <c r="F4" s="6" t="s">
        <v>4</v>
      </c>
      <c r="G4" s="6">
        <v>10</v>
      </c>
      <c r="H4" s="1"/>
      <c r="I4" s="1"/>
      <c r="J4" s="1"/>
      <c r="K4" s="1"/>
    </row>
    <row r="5" spans="3:11" ht="14.25" customHeight="1">
      <c r="C5" s="4"/>
      <c r="D5" s="6">
        <v>2</v>
      </c>
      <c r="E5" s="7">
        <v>11000</v>
      </c>
      <c r="F5" s="6" t="s">
        <v>4</v>
      </c>
      <c r="G5" s="6">
        <v>9</v>
      </c>
      <c r="H5" s="1"/>
      <c r="I5" s="1"/>
      <c r="J5" s="1"/>
      <c r="K5" s="1"/>
    </row>
    <row r="6" spans="3:11" ht="14.25" customHeight="1">
      <c r="C6" s="4"/>
      <c r="D6" s="6">
        <v>3</v>
      </c>
      <c r="E6" s="7">
        <v>6000</v>
      </c>
      <c r="F6" s="6" t="s">
        <v>5</v>
      </c>
      <c r="G6" s="6">
        <v>5</v>
      </c>
      <c r="H6" s="1"/>
      <c r="I6" s="1"/>
      <c r="J6" s="1"/>
      <c r="K6" s="1"/>
    </row>
    <row r="7" spans="3:11" ht="14.25" customHeight="1">
      <c r="C7" s="4"/>
      <c r="D7" s="6">
        <v>4</v>
      </c>
      <c r="E7" s="7">
        <v>15000</v>
      </c>
      <c r="F7" s="6" t="s">
        <v>4</v>
      </c>
      <c r="G7" s="6">
        <v>10</v>
      </c>
      <c r="H7" s="1"/>
      <c r="I7" s="1"/>
      <c r="J7" s="1"/>
      <c r="K7" s="1"/>
    </row>
    <row r="8" spans="3:11" ht="14.25" customHeight="1">
      <c r="C8" s="4"/>
      <c r="D8" s="6">
        <v>5</v>
      </c>
      <c r="E8" s="7">
        <v>10000</v>
      </c>
      <c r="F8" s="6" t="s">
        <v>5</v>
      </c>
      <c r="G8" s="6">
        <v>2</v>
      </c>
      <c r="H8" s="1"/>
      <c r="I8" s="1"/>
      <c r="J8" s="1"/>
      <c r="K8" s="1"/>
    </row>
    <row r="9" spans="3:11" ht="14.25" customHeight="1">
      <c r="C9" s="4"/>
      <c r="D9" s="6">
        <v>6</v>
      </c>
      <c r="E9" s="7">
        <v>15000</v>
      </c>
      <c r="F9" s="6" t="s">
        <v>4</v>
      </c>
      <c r="G9" s="6">
        <v>5</v>
      </c>
      <c r="H9" s="1"/>
      <c r="I9" s="1"/>
      <c r="J9" s="1"/>
      <c r="K9" s="1"/>
    </row>
    <row r="10" spans="3:11" ht="14.25" customHeight="1">
      <c r="C10" s="4"/>
      <c r="D10" s="6">
        <v>7</v>
      </c>
      <c r="E10" s="7">
        <v>13000</v>
      </c>
      <c r="F10" s="6" t="s">
        <v>4</v>
      </c>
      <c r="G10" s="6">
        <v>999</v>
      </c>
      <c r="H10" s="1"/>
      <c r="I10" s="1"/>
      <c r="J10" s="1"/>
      <c r="K10" s="1"/>
    </row>
    <row r="11" spans="3:11" ht="14.25" customHeight="1">
      <c r="C11" s="4"/>
      <c r="D11" s="6">
        <v>8</v>
      </c>
      <c r="E11" s="7">
        <v>8000</v>
      </c>
      <c r="F11" s="6" t="s">
        <v>4</v>
      </c>
      <c r="G11" s="6">
        <v>2</v>
      </c>
      <c r="H11" s="1"/>
      <c r="I11" s="1"/>
      <c r="J11" s="1"/>
      <c r="K11" s="1"/>
    </row>
    <row r="12" spans="3:11" ht="14.25" customHeight="1">
      <c r="C12" s="4"/>
      <c r="D12" s="6">
        <v>9</v>
      </c>
      <c r="E12" s="7">
        <v>11000</v>
      </c>
      <c r="F12" s="6" t="s">
        <v>5</v>
      </c>
      <c r="G12" s="6">
        <v>5</v>
      </c>
      <c r="H12" s="1"/>
      <c r="I12" s="1"/>
      <c r="J12" s="1"/>
      <c r="K12" s="1"/>
    </row>
    <row r="13" spans="3:11" ht="14.25" customHeight="1">
      <c r="C13" s="4"/>
      <c r="D13" s="6">
        <v>10</v>
      </c>
      <c r="E13" s="7">
        <v>9000</v>
      </c>
      <c r="F13" s="6" t="s">
        <v>4</v>
      </c>
      <c r="G13" s="6">
        <v>6</v>
      </c>
      <c r="H13" s="1"/>
      <c r="I13" s="1"/>
      <c r="J13" s="1"/>
      <c r="K13" s="1"/>
    </row>
    <row r="14" spans="3:11" ht="14.25" customHeight="1">
      <c r="C14" s="35"/>
      <c r="D14" s="36"/>
      <c r="E14" s="1"/>
      <c r="F14" s="1"/>
      <c r="G14" s="1"/>
      <c r="H14" s="1"/>
      <c r="I14" s="1"/>
      <c r="J14" s="1"/>
      <c r="K14" s="1"/>
    </row>
    <row r="15" spans="3:11" ht="14.25" customHeight="1">
      <c r="C15" s="37"/>
      <c r="D15" s="38"/>
      <c r="E15" s="1"/>
      <c r="F15" s="1"/>
      <c r="G15" s="1"/>
      <c r="H15" s="1"/>
      <c r="I15" s="1"/>
      <c r="J15" s="1"/>
      <c r="K15" s="1"/>
    </row>
    <row r="16" spans="3:11" ht="14.25" customHeight="1">
      <c r="C16" s="1"/>
      <c r="D16" s="8" t="s">
        <v>6</v>
      </c>
      <c r="E16" s="1"/>
      <c r="F16" s="1"/>
      <c r="G16" s="1"/>
      <c r="H16" s="1"/>
      <c r="I16" s="1"/>
      <c r="J16" s="2"/>
      <c r="K16" s="1"/>
    </row>
    <row r="17" spans="3:11" ht="14.25" customHeight="1">
      <c r="C17" s="9">
        <v>1</v>
      </c>
      <c r="D17" s="10" t="s">
        <v>7</v>
      </c>
      <c r="E17" s="1"/>
      <c r="F17" s="1"/>
      <c r="G17" s="1"/>
      <c r="H17" s="1"/>
      <c r="I17" s="4">
        <f>SUMIF(F4:F13,"yes",E4:E13)</f>
        <v>79000</v>
      </c>
      <c r="J17" s="11"/>
      <c r="K17" s="1"/>
    </row>
    <row r="18" spans="3:11" ht="14.25" customHeight="1">
      <c r="C18" s="9">
        <v>2</v>
      </c>
      <c r="D18" s="10" t="s">
        <v>8</v>
      </c>
      <c r="E18" s="1"/>
      <c r="F18" s="1"/>
      <c r="G18" s="1"/>
      <c r="H18" s="1"/>
      <c r="I18" s="4">
        <f>SUMIF(F4:F13,"No",E4:E13)</f>
        <v>27000</v>
      </c>
      <c r="J18" s="11"/>
      <c r="K18" s="1"/>
    </row>
    <row r="19" spans="3:11" ht="14.25" customHeight="1">
      <c r="C19" s="37"/>
      <c r="D19" s="38"/>
      <c r="E19" s="1"/>
      <c r="F19" s="1"/>
      <c r="G19" s="1"/>
      <c r="H19" s="1"/>
      <c r="I19" s="1"/>
      <c r="J19" s="2"/>
      <c r="K19" s="1"/>
    </row>
    <row r="20" spans="3:11" ht="14.25" customHeight="1">
      <c r="C20" s="9">
        <v>3</v>
      </c>
      <c r="D20" s="10" t="s">
        <v>9</v>
      </c>
      <c r="E20" s="1"/>
      <c r="F20" s="1"/>
      <c r="G20" s="1"/>
      <c r="H20" s="1"/>
      <c r="I20" s="4">
        <f>SUMIF(E5:E12,"&gt;10000",G5:G12)</f>
        <v>1028</v>
      </c>
      <c r="J20" s="11"/>
      <c r="K20" s="1"/>
    </row>
    <row r="21" spans="3:11" ht="14.25" customHeight="1">
      <c r="C21" s="37"/>
      <c r="D21" s="38"/>
      <c r="E21" s="1"/>
      <c r="F21" s="1"/>
      <c r="G21" s="1"/>
      <c r="H21" s="1"/>
      <c r="I21" s="1"/>
      <c r="J21" s="2"/>
      <c r="K21" s="1"/>
    </row>
    <row r="22" spans="3:11" ht="14.25" customHeight="1">
      <c r="C22" s="9">
        <v>4</v>
      </c>
      <c r="D22" s="10" t="s">
        <v>10</v>
      </c>
      <c r="E22" s="1"/>
      <c r="F22" s="1"/>
      <c r="G22" s="1"/>
      <c r="H22" s="1"/>
      <c r="I22" s="4">
        <f>SUMIF(E4:E13,"&gt;10000",E4:E13)</f>
        <v>65000</v>
      </c>
      <c r="J22" s="11"/>
      <c r="K22" s="1"/>
    </row>
    <row r="23" spans="3:11" ht="14.25" customHeight="1">
      <c r="C23" s="9">
        <v>5</v>
      </c>
      <c r="D23" s="10" t="s">
        <v>11</v>
      </c>
      <c r="E23" s="1"/>
      <c r="F23" s="1"/>
      <c r="G23" s="1"/>
      <c r="H23" s="1"/>
      <c r="I23" s="4">
        <f>SUMIF(E4:E13,"&lt;9500",E4:E13)</f>
        <v>31000</v>
      </c>
      <c r="J23" s="11"/>
      <c r="K23" s="1"/>
    </row>
    <row r="24" spans="3:11" ht="14.25" customHeight="1">
      <c r="C24" s="37"/>
      <c r="D24" s="38"/>
      <c r="E24" s="1"/>
      <c r="F24" s="1"/>
      <c r="G24" s="1"/>
      <c r="H24" s="1"/>
      <c r="I24" s="1"/>
      <c r="J24" s="1"/>
      <c r="K24" s="1"/>
    </row>
    <row r="25" spans="3:11" ht="14.25" customHeight="1">
      <c r="C25" s="1"/>
      <c r="D25" s="1"/>
      <c r="E25" s="1"/>
      <c r="F25" s="1"/>
      <c r="G25" s="1"/>
      <c r="H25" s="1"/>
      <c r="I25" s="1"/>
      <c r="J25" s="1"/>
      <c r="K25" s="1"/>
    </row>
    <row r="26" spans="3:11" ht="14.25" customHeight="1">
      <c r="C26" s="1"/>
      <c r="D26" s="1"/>
      <c r="E26" s="1"/>
      <c r="F26" s="1"/>
      <c r="G26" s="1"/>
      <c r="H26" s="1"/>
      <c r="I26" s="1"/>
      <c r="J26" s="1"/>
      <c r="K26" s="1"/>
    </row>
    <row r="27" spans="3:11" ht="14.25" customHeight="1">
      <c r="C27" s="1"/>
      <c r="D27" s="1"/>
      <c r="E27" s="1"/>
      <c r="F27" s="1"/>
      <c r="G27" s="1"/>
      <c r="H27" s="1"/>
      <c r="I27" s="1"/>
      <c r="J27" s="1"/>
      <c r="K27" s="1"/>
    </row>
    <row r="28" spans="3:11" ht="14.25" customHeight="1"/>
    <row r="29" spans="3:11" ht="14.25" customHeight="1"/>
    <row r="30" spans="3:11" ht="14.25" customHeight="1"/>
    <row r="31" spans="3:11" ht="14.25" customHeight="1"/>
    <row r="32" spans="3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D3:G13" xr:uid="{00000000-0001-0000-0200-000000000000}"/>
  <mergeCells count="5">
    <mergeCell ref="C14:D14"/>
    <mergeCell ref="C15:D15"/>
    <mergeCell ref="C19:D19"/>
    <mergeCell ref="C21:D21"/>
    <mergeCell ref="C24:D2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H1000"/>
  <sheetViews>
    <sheetView zoomScale="89" workbookViewId="0">
      <selection activeCell="I14" sqref="I14"/>
    </sheetView>
  </sheetViews>
  <sheetFormatPr defaultColWidth="14.453125" defaultRowHeight="15" customHeight="1"/>
  <cols>
    <col min="1" max="2" width="8.7265625" customWidth="1"/>
    <col min="3" max="3" width="15.54296875" customWidth="1"/>
    <col min="4" max="4" width="58.54296875" bestFit="1" customWidth="1"/>
    <col min="5" max="8" width="15.54296875" customWidth="1"/>
    <col min="9" max="26" width="8.7265625" customWidth="1"/>
  </cols>
  <sheetData>
    <row r="1" spans="3:8" ht="14.25" customHeight="1"/>
    <row r="2" spans="3:8" ht="15" customHeight="1">
      <c r="C2" s="1"/>
      <c r="D2" s="1"/>
      <c r="E2" s="1"/>
      <c r="F2" s="1"/>
      <c r="G2" s="1"/>
      <c r="H2" s="1"/>
    </row>
    <row r="3" spans="3:8" ht="15" customHeight="1">
      <c r="C3" s="1"/>
      <c r="D3" s="12" t="s">
        <v>12</v>
      </c>
      <c r="E3" s="2"/>
      <c r="F3" s="2"/>
      <c r="G3" s="2"/>
      <c r="H3" s="1"/>
    </row>
    <row r="4" spans="3:8" ht="15" customHeight="1">
      <c r="C4" s="4"/>
      <c r="D4" s="13" t="s">
        <v>13</v>
      </c>
      <c r="E4" s="13" t="s">
        <v>14</v>
      </c>
      <c r="F4" s="13" t="s">
        <v>15</v>
      </c>
      <c r="G4" s="13" t="s">
        <v>16</v>
      </c>
      <c r="H4" s="1"/>
    </row>
    <row r="5" spans="3:8" ht="15" customHeight="1">
      <c r="C5" s="4"/>
      <c r="D5" s="14" t="s">
        <v>17</v>
      </c>
      <c r="E5" s="14" t="s">
        <v>18</v>
      </c>
      <c r="F5" s="14" t="s">
        <v>19</v>
      </c>
      <c r="G5" s="15">
        <v>28</v>
      </c>
      <c r="H5" s="1"/>
    </row>
    <row r="6" spans="3:8" ht="15" customHeight="1">
      <c r="C6" s="4"/>
      <c r="D6" s="14" t="s">
        <v>20</v>
      </c>
      <c r="E6" s="14" t="s">
        <v>21</v>
      </c>
      <c r="F6" s="14" t="s">
        <v>22</v>
      </c>
      <c r="G6" s="15">
        <v>8</v>
      </c>
      <c r="H6" s="1"/>
    </row>
    <row r="7" spans="3:8" ht="15" customHeight="1">
      <c r="C7" s="4"/>
      <c r="D7" s="14" t="s">
        <v>23</v>
      </c>
      <c r="E7" s="14" t="s">
        <v>24</v>
      </c>
      <c r="F7" s="14" t="s">
        <v>19</v>
      </c>
      <c r="G7" s="15">
        <v>19</v>
      </c>
      <c r="H7" s="1"/>
    </row>
    <row r="8" spans="3:8" ht="15" customHeight="1">
      <c r="C8" s="4"/>
      <c r="D8" s="14" t="s">
        <v>25</v>
      </c>
      <c r="E8" s="14" t="s">
        <v>26</v>
      </c>
      <c r="F8" s="14" t="s">
        <v>27</v>
      </c>
      <c r="G8" s="15">
        <v>2</v>
      </c>
      <c r="H8" s="1"/>
    </row>
    <row r="9" spans="3:8" ht="15" customHeight="1">
      <c r="C9" s="4"/>
      <c r="D9" s="14" t="s">
        <v>28</v>
      </c>
      <c r="E9" s="14" t="s">
        <v>24</v>
      </c>
      <c r="F9" s="14" t="s">
        <v>29</v>
      </c>
      <c r="G9" s="15">
        <v>5</v>
      </c>
      <c r="H9" s="1"/>
    </row>
    <row r="10" spans="3:8" ht="15" customHeight="1">
      <c r="C10" s="4"/>
      <c r="D10" s="14" t="s">
        <v>30</v>
      </c>
      <c r="E10" s="14" t="s">
        <v>21</v>
      </c>
      <c r="F10" s="14" t="s">
        <v>19</v>
      </c>
      <c r="G10" s="15">
        <v>9</v>
      </c>
      <c r="H10" s="1"/>
    </row>
    <row r="11" spans="3:8" ht="15" customHeight="1">
      <c r="C11" s="4"/>
      <c r="D11" s="14" t="s">
        <v>31</v>
      </c>
      <c r="E11" s="14" t="s">
        <v>24</v>
      </c>
      <c r="F11" s="14" t="s">
        <v>32</v>
      </c>
      <c r="G11" s="15">
        <v>18</v>
      </c>
      <c r="H11" s="1"/>
    </row>
    <row r="12" spans="3:8" ht="15" customHeight="1">
      <c r="C12" s="4"/>
      <c r="D12" s="14" t="s">
        <v>33</v>
      </c>
      <c r="E12" s="14" t="s">
        <v>18</v>
      </c>
      <c r="F12" s="14" t="s">
        <v>19</v>
      </c>
      <c r="G12" s="15">
        <v>11</v>
      </c>
      <c r="H12" s="1"/>
    </row>
    <row r="13" spans="3:8" ht="15" customHeight="1">
      <c r="C13" s="4"/>
      <c r="D13" s="14" t="s">
        <v>34</v>
      </c>
      <c r="E13" s="14" t="s">
        <v>26</v>
      </c>
      <c r="F13" s="14" t="s">
        <v>35</v>
      </c>
      <c r="G13" s="15">
        <v>3</v>
      </c>
      <c r="H13" s="1"/>
    </row>
    <row r="14" spans="3:8" ht="15" customHeight="1">
      <c r="C14" s="4"/>
      <c r="D14" s="14" t="s">
        <v>36</v>
      </c>
      <c r="E14" s="14" t="s">
        <v>21</v>
      </c>
      <c r="F14" s="14" t="s">
        <v>37</v>
      </c>
      <c r="G14" s="15">
        <v>15</v>
      </c>
      <c r="H14" s="1"/>
    </row>
    <row r="15" spans="3:8" ht="15" customHeight="1">
      <c r="C15" s="35"/>
      <c r="D15" s="36"/>
      <c r="E15" s="1"/>
      <c r="F15" s="1"/>
      <c r="G15" s="1"/>
      <c r="H15" s="1"/>
    </row>
    <row r="16" spans="3:8" ht="15" customHeight="1">
      <c r="C16" s="1"/>
      <c r="D16" s="16" t="s">
        <v>38</v>
      </c>
      <c r="E16" s="1"/>
      <c r="F16" s="1"/>
      <c r="G16" s="1"/>
      <c r="H16" s="1"/>
    </row>
    <row r="17" spans="3:8" ht="15" customHeight="1">
      <c r="C17" s="37"/>
      <c r="D17" s="38"/>
      <c r="E17" s="1"/>
      <c r="F17" s="1"/>
      <c r="G17" s="1"/>
      <c r="H17" s="1"/>
    </row>
    <row r="18" spans="3:8" ht="15" customHeight="1">
      <c r="C18" s="17">
        <v>1</v>
      </c>
      <c r="D18" s="18" t="s">
        <v>39</v>
      </c>
      <c r="E18" s="1"/>
      <c r="F18" s="1"/>
      <c r="G18" s="1"/>
      <c r="H18" s="1"/>
    </row>
    <row r="19" spans="3:8" ht="15" customHeight="1">
      <c r="C19" s="37"/>
      <c r="D19" s="38"/>
      <c r="E19" s="19" t="s">
        <v>40</v>
      </c>
      <c r="F19" s="1"/>
      <c r="G19" s="1"/>
      <c r="H19" s="1"/>
    </row>
    <row r="20" spans="3:8" ht="15" customHeight="1">
      <c r="C20" s="1"/>
      <c r="D20" s="20" t="s">
        <v>41</v>
      </c>
      <c r="E20" s="11"/>
      <c r="F20" s="1"/>
      <c r="G20" s="1"/>
      <c r="H20" s="1"/>
    </row>
    <row r="21" spans="3:8" ht="15" customHeight="1">
      <c r="C21" s="37"/>
      <c r="D21" s="38"/>
      <c r="E21" s="1"/>
      <c r="F21" s="1"/>
      <c r="G21" s="1"/>
      <c r="H21" s="1"/>
    </row>
    <row r="22" spans="3:8" ht="15" customHeight="1">
      <c r="C22" s="17">
        <v>2</v>
      </c>
      <c r="D22" s="18" t="s">
        <v>42</v>
      </c>
      <c r="E22" s="1"/>
      <c r="F22" s="1"/>
      <c r="G22" s="1"/>
      <c r="H22" s="1"/>
    </row>
    <row r="23" spans="3:8" ht="15" customHeight="1">
      <c r="C23" s="37"/>
      <c r="D23" s="38"/>
      <c r="E23" s="19" t="s">
        <v>40</v>
      </c>
      <c r="F23" s="1"/>
      <c r="G23" s="1"/>
      <c r="H23" s="1"/>
    </row>
    <row r="24" spans="3:8" ht="15" customHeight="1">
      <c r="C24" s="1"/>
      <c r="D24" s="20" t="s">
        <v>41</v>
      </c>
      <c r="E24" s="11"/>
      <c r="F24" s="1"/>
      <c r="G24" s="1"/>
      <c r="H24" s="1"/>
    </row>
    <row r="25" spans="3:8" ht="15" customHeight="1">
      <c r="C25" s="37"/>
      <c r="D25" s="38"/>
      <c r="E25" s="1"/>
      <c r="F25" s="1"/>
      <c r="G25" s="1"/>
      <c r="H25" s="1"/>
    </row>
    <row r="26" spans="3:8" ht="15" customHeight="1">
      <c r="C26" s="17">
        <v>3</v>
      </c>
      <c r="D26" s="18" t="s">
        <v>43</v>
      </c>
      <c r="E26" s="1"/>
      <c r="F26" s="1"/>
      <c r="G26" s="1"/>
      <c r="H26" s="1"/>
    </row>
    <row r="27" spans="3:8" ht="15" customHeight="1">
      <c r="C27" s="37"/>
      <c r="D27" s="38"/>
      <c r="E27" s="19" t="s">
        <v>40</v>
      </c>
      <c r="F27" s="1"/>
      <c r="G27" s="1"/>
      <c r="H27" s="1"/>
    </row>
    <row r="28" spans="3:8" ht="15" customHeight="1">
      <c r="C28" s="1"/>
      <c r="D28" s="20" t="s">
        <v>41</v>
      </c>
      <c r="E28" s="11"/>
      <c r="F28" s="1"/>
      <c r="G28" s="1"/>
      <c r="H28" s="1"/>
    </row>
    <row r="29" spans="3:8" ht="15" customHeight="1">
      <c r="C29" s="1"/>
      <c r="D29" s="1"/>
      <c r="E29" s="1"/>
      <c r="F29" s="1"/>
      <c r="G29" s="1"/>
      <c r="H29" s="1"/>
    </row>
    <row r="30" spans="3:8" ht="15" customHeight="1">
      <c r="C30" s="1"/>
      <c r="D30" s="1"/>
      <c r="E30" s="1"/>
      <c r="F30" s="1"/>
      <c r="G30" s="1"/>
      <c r="H30" s="1"/>
    </row>
    <row r="31" spans="3:8" ht="14.25" customHeight="1"/>
    <row r="32" spans="3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C25:D25"/>
    <mergeCell ref="C27:D27"/>
    <mergeCell ref="C15:D15"/>
    <mergeCell ref="C17:D17"/>
    <mergeCell ref="C19:D19"/>
    <mergeCell ref="C21:D21"/>
    <mergeCell ref="C23:D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000"/>
  <sheetViews>
    <sheetView topLeftCell="B4" zoomScale="84" workbookViewId="0">
      <selection activeCell="D24" sqref="D24"/>
    </sheetView>
  </sheetViews>
  <sheetFormatPr defaultColWidth="14.453125" defaultRowHeight="15" customHeight="1"/>
  <cols>
    <col min="1" max="1" width="8.7265625" customWidth="1"/>
    <col min="2" max="2" width="15.54296875" customWidth="1"/>
    <col min="3" max="3" width="79" customWidth="1"/>
    <col min="4" max="9" width="15.54296875" customWidth="1"/>
    <col min="10" max="26" width="8.7265625" customWidth="1"/>
  </cols>
  <sheetData>
    <row r="1" spans="2:9" ht="14.25" customHeight="1"/>
    <row r="2" spans="2:9" ht="15" customHeight="1">
      <c r="B2" s="1"/>
      <c r="C2" s="2"/>
      <c r="D2" s="39"/>
      <c r="E2" s="40"/>
      <c r="F2" s="2"/>
      <c r="G2" s="39"/>
      <c r="H2" s="40"/>
      <c r="I2" s="1"/>
    </row>
    <row r="3" spans="2:9" ht="15" customHeight="1">
      <c r="B3" s="4"/>
      <c r="C3" s="13" t="s">
        <v>44</v>
      </c>
      <c r="D3" s="13" t="s">
        <v>45</v>
      </c>
      <c r="E3" s="13" t="s">
        <v>46</v>
      </c>
      <c r="F3" s="13" t="s">
        <v>47</v>
      </c>
      <c r="G3" s="13" t="s">
        <v>48</v>
      </c>
      <c r="H3" s="13" t="s">
        <v>49</v>
      </c>
      <c r="I3" s="1"/>
    </row>
    <row r="4" spans="2:9" ht="15" customHeight="1">
      <c r="B4" s="4"/>
      <c r="C4" s="14" t="s">
        <v>50</v>
      </c>
      <c r="D4" s="15">
        <v>5</v>
      </c>
      <c r="E4" s="14" t="s">
        <v>51</v>
      </c>
      <c r="F4" s="15">
        <v>15</v>
      </c>
      <c r="G4" s="15">
        <v>500</v>
      </c>
      <c r="H4" s="15">
        <v>7500</v>
      </c>
      <c r="I4" s="1"/>
    </row>
    <row r="5" spans="2:9" ht="15" customHeight="1">
      <c r="B5" s="4"/>
      <c r="C5" s="14" t="s">
        <v>52</v>
      </c>
      <c r="D5" s="15">
        <v>4</v>
      </c>
      <c r="E5" s="14" t="s">
        <v>51</v>
      </c>
      <c r="F5" s="15">
        <v>10</v>
      </c>
      <c r="G5" s="15">
        <v>800</v>
      </c>
      <c r="H5" s="15">
        <v>8000</v>
      </c>
      <c r="I5" s="1"/>
    </row>
    <row r="6" spans="2:9" ht="15" customHeight="1">
      <c r="B6" s="4"/>
      <c r="C6" s="14" t="s">
        <v>53</v>
      </c>
      <c r="D6" s="15">
        <v>3</v>
      </c>
      <c r="E6" s="14" t="s">
        <v>54</v>
      </c>
      <c r="F6" s="15">
        <v>20</v>
      </c>
      <c r="G6" s="15">
        <v>400</v>
      </c>
      <c r="H6" s="15">
        <v>8000</v>
      </c>
      <c r="I6" s="1"/>
    </row>
    <row r="7" spans="2:9" ht="15" customHeight="1">
      <c r="B7" s="4"/>
      <c r="C7" s="14" t="s">
        <v>55</v>
      </c>
      <c r="D7" s="15">
        <v>4</v>
      </c>
      <c r="E7" s="14" t="s">
        <v>51</v>
      </c>
      <c r="F7" s="15">
        <v>12</v>
      </c>
      <c r="G7" s="15">
        <v>1000</v>
      </c>
      <c r="H7" s="15">
        <v>12000</v>
      </c>
      <c r="I7" s="1"/>
    </row>
    <row r="8" spans="2:9" ht="15" customHeight="1">
      <c r="B8" s="4"/>
      <c r="C8" s="14" t="s">
        <v>56</v>
      </c>
      <c r="D8" s="15">
        <v>5</v>
      </c>
      <c r="E8" s="14" t="s">
        <v>51</v>
      </c>
      <c r="F8" s="15">
        <v>14</v>
      </c>
      <c r="G8" s="15">
        <v>1500</v>
      </c>
      <c r="H8" s="15">
        <v>21000</v>
      </c>
      <c r="I8" s="1"/>
    </row>
    <row r="9" spans="2:9" ht="15" customHeight="1">
      <c r="B9" s="4"/>
      <c r="C9" s="14" t="s">
        <v>57</v>
      </c>
      <c r="D9" s="15">
        <v>4</v>
      </c>
      <c r="E9" s="14" t="s">
        <v>58</v>
      </c>
      <c r="F9" s="15">
        <v>18</v>
      </c>
      <c r="G9" s="15">
        <v>600</v>
      </c>
      <c r="H9" s="15">
        <v>10800</v>
      </c>
      <c r="I9" s="1"/>
    </row>
    <row r="10" spans="2:9" ht="15" customHeight="1">
      <c r="B10" s="1"/>
      <c r="C10" s="1"/>
      <c r="D10" s="41"/>
      <c r="E10" s="42"/>
      <c r="F10" s="1"/>
      <c r="G10" s="41"/>
      <c r="H10" s="42"/>
      <c r="I10" s="1"/>
    </row>
    <row r="11" spans="2:9" ht="15" customHeight="1">
      <c r="B11" s="17">
        <v>1</v>
      </c>
      <c r="C11" s="21" t="s">
        <v>59</v>
      </c>
      <c r="D11" s="37"/>
      <c r="E11" s="38"/>
      <c r="F11" s="1"/>
      <c r="G11" s="37"/>
      <c r="H11" s="38"/>
      <c r="I11" s="1"/>
    </row>
    <row r="12" spans="2:9" ht="15" customHeight="1">
      <c r="B12" s="1"/>
      <c r="C12" s="1"/>
      <c r="D12" s="43" t="s">
        <v>40</v>
      </c>
      <c r="E12" s="40"/>
      <c r="F12" s="1"/>
      <c r="G12" s="37"/>
      <c r="H12" s="38"/>
      <c r="I12" s="1"/>
    </row>
    <row r="13" spans="2:9" ht="15" customHeight="1">
      <c r="B13" s="1"/>
      <c r="C13" s="22" t="s">
        <v>41</v>
      </c>
      <c r="D13" s="11"/>
      <c r="E13" s="1"/>
      <c r="F13" s="1"/>
      <c r="G13" s="37"/>
      <c r="H13" s="38"/>
      <c r="I13" s="1"/>
    </row>
    <row r="14" spans="2:9" ht="15" customHeight="1">
      <c r="B14" s="1"/>
      <c r="C14" s="1"/>
      <c r="D14" s="35"/>
      <c r="E14" s="36"/>
      <c r="F14" s="1"/>
      <c r="G14" s="37"/>
      <c r="H14" s="38"/>
      <c r="I14" s="1"/>
    </row>
    <row r="15" spans="2:9" ht="15" customHeight="1">
      <c r="B15" s="1"/>
      <c r="C15" s="23"/>
      <c r="D15" s="23"/>
      <c r="E15" s="23"/>
      <c r="F15" s="23"/>
      <c r="G15" s="23"/>
      <c r="H15" s="23"/>
      <c r="I15" s="23"/>
    </row>
    <row r="16" spans="2:9" ht="15" customHeight="1">
      <c r="B16" s="17">
        <v>2</v>
      </c>
      <c r="C16" s="21" t="s">
        <v>60</v>
      </c>
      <c r="D16" s="37"/>
      <c r="E16" s="38"/>
      <c r="F16" s="1"/>
      <c r="G16" s="37"/>
      <c r="H16" s="38"/>
      <c r="I16" s="1"/>
    </row>
    <row r="17" spans="2:9" ht="15" customHeight="1">
      <c r="B17" s="1"/>
      <c r="C17" s="1"/>
      <c r="D17" s="37"/>
      <c r="E17" s="38"/>
      <c r="F17" s="1"/>
      <c r="G17" s="37"/>
      <c r="H17" s="38"/>
      <c r="I17" s="1"/>
    </row>
    <row r="18" spans="2:9" ht="15" customHeight="1">
      <c r="B18" s="1"/>
      <c r="C18" s="1"/>
      <c r="D18" s="43" t="s">
        <v>40</v>
      </c>
      <c r="E18" s="40"/>
      <c r="F18" s="1"/>
      <c r="G18" s="37"/>
      <c r="H18" s="38"/>
      <c r="I18" s="1"/>
    </row>
    <row r="19" spans="2:9" ht="15" customHeight="1">
      <c r="B19" s="1"/>
      <c r="C19" s="22" t="s">
        <v>41</v>
      </c>
      <c r="D19" s="11"/>
      <c r="E19" s="1"/>
      <c r="F19" s="1"/>
      <c r="G19" s="37"/>
      <c r="H19" s="38"/>
      <c r="I19" s="1"/>
    </row>
    <row r="20" spans="2:9" ht="15" customHeight="1">
      <c r="B20" s="1"/>
      <c r="C20" s="1"/>
      <c r="D20" s="35"/>
      <c r="E20" s="36"/>
      <c r="F20" s="1"/>
      <c r="G20" s="37"/>
      <c r="H20" s="38"/>
      <c r="I20" s="1"/>
    </row>
    <row r="21" spans="2:9" ht="15" customHeight="1">
      <c r="B21" s="1"/>
      <c r="C21" s="1"/>
      <c r="D21" s="37"/>
      <c r="E21" s="38"/>
      <c r="F21" s="1"/>
      <c r="G21" s="37"/>
      <c r="H21" s="38"/>
      <c r="I21" s="1"/>
    </row>
    <row r="22" spans="2:9" ht="15" customHeight="1">
      <c r="B22" s="17">
        <v>3</v>
      </c>
      <c r="C22" s="21" t="s">
        <v>61</v>
      </c>
      <c r="D22" s="37"/>
      <c r="E22" s="38"/>
      <c r="F22" s="1"/>
      <c r="G22" s="37"/>
      <c r="H22" s="38"/>
      <c r="I22" s="1"/>
    </row>
    <row r="23" spans="2:9" ht="15" customHeight="1">
      <c r="B23" s="1"/>
      <c r="C23" s="1"/>
      <c r="D23" s="43" t="s">
        <v>40</v>
      </c>
      <c r="E23" s="40"/>
      <c r="F23" s="1"/>
      <c r="G23" s="37"/>
      <c r="H23" s="38"/>
      <c r="I23" s="1"/>
    </row>
    <row r="24" spans="2:9" ht="15" customHeight="1">
      <c r="B24" s="1"/>
      <c r="C24" s="22" t="s">
        <v>41</v>
      </c>
      <c r="D24" s="11"/>
      <c r="E24" s="1"/>
      <c r="F24" s="1"/>
      <c r="G24" s="37"/>
      <c r="H24" s="38"/>
      <c r="I24" s="1"/>
    </row>
    <row r="25" spans="2:9" ht="15" customHeight="1">
      <c r="B25" s="1"/>
      <c r="C25" s="1"/>
      <c r="D25" s="35"/>
      <c r="E25" s="36"/>
      <c r="F25" s="1"/>
      <c r="G25" s="37"/>
      <c r="H25" s="38"/>
      <c r="I25" s="1"/>
    </row>
    <row r="26" spans="2:9" ht="15" customHeight="1">
      <c r="B26" s="1"/>
      <c r="C26" s="1"/>
      <c r="D26" s="1"/>
      <c r="E26" s="1"/>
      <c r="F26" s="1"/>
      <c r="G26" s="1"/>
      <c r="H26" s="1"/>
      <c r="I26" s="1"/>
    </row>
    <row r="27" spans="2:9" ht="14.25" customHeight="1"/>
    <row r="28" spans="2:9" ht="14.25" customHeight="1"/>
    <row r="29" spans="2:9" ht="14.25" customHeight="1"/>
    <row r="30" spans="2:9" ht="14.25" customHeight="1"/>
    <row r="31" spans="2:9" ht="14.25" customHeight="1"/>
    <row r="32" spans="2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9">
    <mergeCell ref="G23:H23"/>
    <mergeCell ref="G24:H24"/>
    <mergeCell ref="D25:E25"/>
    <mergeCell ref="G25:H25"/>
    <mergeCell ref="D20:E20"/>
    <mergeCell ref="G20:H20"/>
    <mergeCell ref="D21:E21"/>
    <mergeCell ref="G21:H21"/>
    <mergeCell ref="D22:E22"/>
    <mergeCell ref="G22:H22"/>
    <mergeCell ref="D23:E23"/>
    <mergeCell ref="G18:H18"/>
    <mergeCell ref="G19:H19"/>
    <mergeCell ref="D14:E14"/>
    <mergeCell ref="G14:H14"/>
    <mergeCell ref="D16:E16"/>
    <mergeCell ref="G16:H16"/>
    <mergeCell ref="D17:E17"/>
    <mergeCell ref="G17:H17"/>
    <mergeCell ref="D18:E18"/>
    <mergeCell ref="G12:H12"/>
    <mergeCell ref="G13:H13"/>
    <mergeCell ref="D2:E2"/>
    <mergeCell ref="G2:H2"/>
    <mergeCell ref="D10:E10"/>
    <mergeCell ref="G10:H10"/>
    <mergeCell ref="D11:E11"/>
    <mergeCell ref="G11:H11"/>
    <mergeCell ref="D12:E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000"/>
  <sheetViews>
    <sheetView workbookViewId="0">
      <selection activeCell="G6" sqref="G6"/>
    </sheetView>
  </sheetViews>
  <sheetFormatPr defaultColWidth="14.453125" defaultRowHeight="15" customHeight="1"/>
  <cols>
    <col min="1" max="1" width="8.7265625" customWidth="1"/>
    <col min="2" max="10" width="20.54296875" customWidth="1"/>
    <col min="11" max="26" width="8.7265625" customWidth="1"/>
  </cols>
  <sheetData>
    <row r="1" spans="2:10" ht="14.25" customHeight="1"/>
    <row r="2" spans="2:10" ht="15" customHeight="1">
      <c r="B2" s="24" t="s">
        <v>62</v>
      </c>
      <c r="C2" s="25"/>
      <c r="D2" s="26"/>
      <c r="E2" s="26"/>
      <c r="F2" s="26"/>
      <c r="G2" s="1"/>
      <c r="H2" s="1"/>
      <c r="I2" s="1"/>
      <c r="J2" s="1"/>
    </row>
    <row r="3" spans="2:10" ht="15" customHeight="1">
      <c r="B3" s="27" t="s">
        <v>63</v>
      </c>
      <c r="C3" s="3"/>
      <c r="D3" s="3"/>
      <c r="E3" s="3"/>
      <c r="F3" s="3"/>
      <c r="G3" s="1"/>
      <c r="H3" s="1"/>
      <c r="I3" s="1"/>
      <c r="J3" s="1"/>
    </row>
    <row r="4" spans="2:10" ht="15" customHeight="1">
      <c r="B4" s="27"/>
      <c r="C4" s="3"/>
      <c r="D4" s="3"/>
      <c r="E4" s="3"/>
      <c r="F4" s="3"/>
      <c r="G4" s="1"/>
      <c r="H4" s="1"/>
      <c r="I4" s="1"/>
      <c r="J4" s="1"/>
    </row>
    <row r="5" spans="2:10" ht="15" customHeight="1">
      <c r="B5" s="28" t="s">
        <v>64</v>
      </c>
      <c r="C5" s="2"/>
      <c r="D5" s="2"/>
      <c r="E5" s="29"/>
      <c r="F5" s="2"/>
      <c r="G5" s="1"/>
      <c r="H5" s="1"/>
      <c r="I5" s="1"/>
      <c r="J5" s="1"/>
    </row>
    <row r="6" spans="2:10" ht="15" customHeight="1">
      <c r="B6" s="28" t="s">
        <v>65</v>
      </c>
      <c r="C6" s="2"/>
      <c r="D6" s="2"/>
      <c r="E6" s="30"/>
      <c r="F6" s="3"/>
      <c r="G6" s="1"/>
      <c r="H6" s="1"/>
      <c r="I6" s="1"/>
      <c r="J6" s="1"/>
    </row>
    <row r="7" spans="2:10" ht="15" customHeight="1">
      <c r="B7" s="2"/>
      <c r="C7" s="2"/>
      <c r="D7" s="2"/>
      <c r="E7" s="2"/>
      <c r="F7" s="2"/>
      <c r="G7" s="2"/>
      <c r="H7" s="2"/>
      <c r="I7" s="1"/>
      <c r="J7" s="1"/>
    </row>
    <row r="8" spans="2:10" ht="15" customHeight="1">
      <c r="B8" s="31" t="s">
        <v>15</v>
      </c>
      <c r="C8" s="32" t="s">
        <v>66</v>
      </c>
      <c r="D8" s="32" t="s">
        <v>67</v>
      </c>
      <c r="E8" s="32" t="s">
        <v>68</v>
      </c>
      <c r="F8" s="32" t="s">
        <v>69</v>
      </c>
      <c r="G8" s="32" t="s">
        <v>70</v>
      </c>
      <c r="H8" s="32" t="s">
        <v>71</v>
      </c>
      <c r="I8" s="1"/>
      <c r="J8" s="1"/>
    </row>
    <row r="9" spans="2:10" ht="15" customHeight="1">
      <c r="B9" s="27" t="s">
        <v>72</v>
      </c>
      <c r="C9" s="3" t="s">
        <v>73</v>
      </c>
      <c r="D9" s="3" t="s">
        <v>74</v>
      </c>
      <c r="E9" s="33">
        <v>1397715000</v>
      </c>
      <c r="F9" s="33">
        <v>9596960</v>
      </c>
      <c r="G9" s="3" t="s">
        <v>75</v>
      </c>
      <c r="H9" s="33">
        <v>14343</v>
      </c>
      <c r="I9" s="1"/>
      <c r="J9" s="1"/>
    </row>
    <row r="10" spans="2:10" ht="15" customHeight="1">
      <c r="B10" s="27" t="s">
        <v>76</v>
      </c>
      <c r="C10" s="3" t="s">
        <v>73</v>
      </c>
      <c r="D10" s="3" t="s">
        <v>77</v>
      </c>
      <c r="E10" s="33">
        <v>1366417754</v>
      </c>
      <c r="F10" s="33">
        <v>3287263</v>
      </c>
      <c r="G10" s="3" t="s">
        <v>78</v>
      </c>
      <c r="H10" s="33">
        <v>2611</v>
      </c>
      <c r="I10" s="1"/>
      <c r="J10" s="1"/>
    </row>
    <row r="11" spans="2:10" ht="15" customHeight="1">
      <c r="B11" s="27" t="s">
        <v>79</v>
      </c>
      <c r="C11" s="3" t="s">
        <v>80</v>
      </c>
      <c r="D11" s="3" t="s">
        <v>81</v>
      </c>
      <c r="E11" s="33">
        <v>328239523</v>
      </c>
      <c r="F11" s="33">
        <v>9833517</v>
      </c>
      <c r="G11" s="3" t="s">
        <v>82</v>
      </c>
      <c r="H11" s="33">
        <v>22675</v>
      </c>
      <c r="I11" s="1"/>
      <c r="J11" s="1"/>
    </row>
    <row r="12" spans="2:10" ht="15" customHeight="1">
      <c r="B12" s="27" t="s">
        <v>83</v>
      </c>
      <c r="C12" s="3" t="s">
        <v>73</v>
      </c>
      <c r="D12" s="3" t="s">
        <v>84</v>
      </c>
      <c r="E12" s="33">
        <v>270203917</v>
      </c>
      <c r="F12" s="33">
        <v>1904569</v>
      </c>
      <c r="G12" s="3" t="s">
        <v>85</v>
      </c>
      <c r="H12" s="33">
        <v>1119</v>
      </c>
      <c r="I12" s="1"/>
      <c r="J12" s="1"/>
    </row>
    <row r="13" spans="2:10" ht="15" customHeight="1">
      <c r="B13" s="27" t="s">
        <v>86</v>
      </c>
      <c r="C13" s="3" t="s">
        <v>73</v>
      </c>
      <c r="D13" s="3" t="s">
        <v>87</v>
      </c>
      <c r="E13" s="33">
        <v>216565318</v>
      </c>
      <c r="F13" s="33">
        <v>796095</v>
      </c>
      <c r="G13" s="3" t="s">
        <v>88</v>
      </c>
      <c r="H13" s="34">
        <v>304</v>
      </c>
      <c r="I13" s="1"/>
      <c r="J13" s="1"/>
    </row>
    <row r="14" spans="2:10" ht="15" customHeight="1">
      <c r="B14" s="27" t="s">
        <v>89</v>
      </c>
      <c r="C14" s="3" t="s">
        <v>90</v>
      </c>
      <c r="D14" s="3" t="s">
        <v>91</v>
      </c>
      <c r="E14" s="33">
        <v>212559417</v>
      </c>
      <c r="F14" s="33">
        <v>8515770</v>
      </c>
      <c r="G14" s="3" t="s">
        <v>92</v>
      </c>
      <c r="H14" s="33">
        <v>1840</v>
      </c>
      <c r="I14" s="1"/>
      <c r="J14" s="1"/>
    </row>
    <row r="15" spans="2:10" ht="15" customHeight="1">
      <c r="B15" s="27" t="s">
        <v>93</v>
      </c>
      <c r="C15" s="3" t="s">
        <v>94</v>
      </c>
      <c r="D15" s="3" t="s">
        <v>81</v>
      </c>
      <c r="E15" s="33">
        <v>200963599</v>
      </c>
      <c r="F15" s="33">
        <v>923768</v>
      </c>
      <c r="G15" s="3" t="s">
        <v>95</v>
      </c>
      <c r="H15" s="34">
        <v>448</v>
      </c>
      <c r="I15" s="1"/>
      <c r="J15" s="1"/>
    </row>
    <row r="16" spans="2:10" ht="15" customHeight="1">
      <c r="B16" s="27" t="s">
        <v>96</v>
      </c>
      <c r="C16" s="3" t="s">
        <v>73</v>
      </c>
      <c r="D16" s="3" t="s">
        <v>97</v>
      </c>
      <c r="E16" s="33">
        <v>163046161</v>
      </c>
      <c r="F16" s="33">
        <v>148460</v>
      </c>
      <c r="G16" s="3" t="s">
        <v>98</v>
      </c>
      <c r="H16" s="34">
        <v>303</v>
      </c>
      <c r="I16" s="1"/>
      <c r="J16" s="1"/>
    </row>
    <row r="17" spans="2:10" ht="15" customHeight="1">
      <c r="B17" s="27" t="s">
        <v>37</v>
      </c>
      <c r="C17" s="3" t="s">
        <v>99</v>
      </c>
      <c r="D17" s="3" t="s">
        <v>100</v>
      </c>
      <c r="E17" s="33">
        <v>144373535</v>
      </c>
      <c r="F17" s="33">
        <v>17098240</v>
      </c>
      <c r="G17" s="3" t="s">
        <v>101</v>
      </c>
      <c r="H17" s="33">
        <v>1700</v>
      </c>
      <c r="I17" s="1"/>
      <c r="J17" s="1"/>
    </row>
    <row r="18" spans="2:10" ht="15" customHeight="1">
      <c r="B18" s="27" t="s">
        <v>102</v>
      </c>
      <c r="C18" s="3" t="s">
        <v>80</v>
      </c>
      <c r="D18" s="3" t="s">
        <v>103</v>
      </c>
      <c r="E18" s="33">
        <v>126014024</v>
      </c>
      <c r="F18" s="33">
        <v>1964375</v>
      </c>
      <c r="G18" s="3" t="s">
        <v>104</v>
      </c>
      <c r="H18" s="33">
        <v>1258</v>
      </c>
      <c r="I18" s="1"/>
      <c r="J18" s="1"/>
    </row>
    <row r="19" spans="2:10" ht="15" customHeight="1">
      <c r="B19" s="27" t="s">
        <v>105</v>
      </c>
      <c r="C19" s="3" t="s">
        <v>73</v>
      </c>
      <c r="D19" s="3" t="s">
        <v>106</v>
      </c>
      <c r="E19" s="33">
        <v>126264931</v>
      </c>
      <c r="F19" s="33">
        <v>377944</v>
      </c>
      <c r="G19" s="3" t="s">
        <v>107</v>
      </c>
      <c r="H19" s="33">
        <v>5082</v>
      </c>
      <c r="I19" s="1"/>
      <c r="J19" s="1"/>
    </row>
    <row r="20" spans="2:10" ht="15" customHeight="1">
      <c r="B20" s="27" t="s">
        <v>108</v>
      </c>
      <c r="C20" s="3" t="s">
        <v>94</v>
      </c>
      <c r="D20" s="3" t="s">
        <v>109</v>
      </c>
      <c r="E20" s="33">
        <v>112078730</v>
      </c>
      <c r="F20" s="33">
        <v>1104300</v>
      </c>
      <c r="G20" s="3" t="s">
        <v>110</v>
      </c>
      <c r="H20" s="34">
        <v>96</v>
      </c>
      <c r="I20" s="1"/>
      <c r="J20" s="1"/>
    </row>
    <row r="21" spans="2:10" ht="15" customHeight="1">
      <c r="B21" s="27" t="s">
        <v>111</v>
      </c>
      <c r="C21" s="3" t="s">
        <v>73</v>
      </c>
      <c r="D21" s="3" t="s">
        <v>112</v>
      </c>
      <c r="E21" s="33">
        <v>108116615</v>
      </c>
      <c r="F21" s="33">
        <v>300000</v>
      </c>
      <c r="G21" s="3" t="s">
        <v>113</v>
      </c>
      <c r="H21" s="34">
        <v>377</v>
      </c>
      <c r="I21" s="1"/>
      <c r="J21" s="1"/>
    </row>
    <row r="22" spans="2:10" ht="15" customHeight="1">
      <c r="B22" s="27" t="s">
        <v>114</v>
      </c>
      <c r="C22" s="3" t="s">
        <v>94</v>
      </c>
      <c r="D22" s="3" t="s">
        <v>115</v>
      </c>
      <c r="E22" s="33">
        <v>100388073</v>
      </c>
      <c r="F22" s="33">
        <v>1001450</v>
      </c>
      <c r="G22" s="3" t="s">
        <v>116</v>
      </c>
      <c r="H22" s="34">
        <v>303</v>
      </c>
      <c r="I22" s="1"/>
      <c r="J22" s="1"/>
    </row>
    <row r="23" spans="2:10" ht="15" customHeight="1">
      <c r="B23" s="27" t="s">
        <v>117</v>
      </c>
      <c r="C23" s="3" t="s">
        <v>73</v>
      </c>
      <c r="D23" s="3" t="s">
        <v>118</v>
      </c>
      <c r="E23" s="33">
        <v>96462106</v>
      </c>
      <c r="F23" s="33">
        <v>331210</v>
      </c>
      <c r="G23" s="3" t="s">
        <v>119</v>
      </c>
      <c r="H23" s="34">
        <v>262</v>
      </c>
      <c r="I23" s="1"/>
      <c r="J23" s="1"/>
    </row>
    <row r="24" spans="2:10" ht="15" customHeight="1">
      <c r="B24" s="27" t="s">
        <v>120</v>
      </c>
      <c r="C24" s="3" t="s">
        <v>94</v>
      </c>
      <c r="D24" s="3" t="s">
        <v>121</v>
      </c>
      <c r="E24" s="33">
        <v>86790567</v>
      </c>
      <c r="F24" s="33">
        <v>2344858</v>
      </c>
      <c r="G24" s="3" t="s">
        <v>122</v>
      </c>
      <c r="H24" s="34">
        <v>47</v>
      </c>
      <c r="I24" s="1"/>
      <c r="J24" s="1"/>
    </row>
    <row r="25" spans="2:10" ht="15" customHeight="1">
      <c r="B25" s="27" t="s">
        <v>123</v>
      </c>
      <c r="C25" s="3" t="s">
        <v>73</v>
      </c>
      <c r="D25" s="3" t="s">
        <v>124</v>
      </c>
      <c r="E25" s="33">
        <v>82913906</v>
      </c>
      <c r="F25" s="33">
        <v>1648195</v>
      </c>
      <c r="G25" s="3" t="s">
        <v>125</v>
      </c>
      <c r="H25" s="34">
        <v>445</v>
      </c>
      <c r="I25" s="1"/>
      <c r="J25" s="1"/>
    </row>
    <row r="26" spans="2:10" ht="15" customHeight="1">
      <c r="B26" s="27" t="s">
        <v>126</v>
      </c>
      <c r="C26" s="3" t="s">
        <v>73</v>
      </c>
      <c r="D26" s="3" t="s">
        <v>127</v>
      </c>
      <c r="E26" s="33">
        <v>83429615</v>
      </c>
      <c r="F26" s="33">
        <v>783562</v>
      </c>
      <c r="G26" s="3" t="s">
        <v>128</v>
      </c>
      <c r="H26" s="34">
        <v>754</v>
      </c>
      <c r="I26" s="1"/>
      <c r="J26" s="1"/>
    </row>
    <row r="27" spans="2:10" ht="15" customHeight="1">
      <c r="B27" s="27" t="s">
        <v>27</v>
      </c>
      <c r="C27" s="3" t="s">
        <v>99</v>
      </c>
      <c r="D27" s="3" t="s">
        <v>129</v>
      </c>
      <c r="E27" s="33">
        <v>83132799</v>
      </c>
      <c r="F27" s="33">
        <v>357022</v>
      </c>
      <c r="G27" s="3" t="s">
        <v>130</v>
      </c>
      <c r="H27" s="33">
        <v>3846</v>
      </c>
      <c r="I27" s="1"/>
      <c r="J27" s="1"/>
    </row>
    <row r="28" spans="2:10" ht="15" customHeight="1">
      <c r="B28" s="27" t="s">
        <v>131</v>
      </c>
      <c r="C28" s="3" t="s">
        <v>99</v>
      </c>
      <c r="D28" s="3" t="s">
        <v>121</v>
      </c>
      <c r="E28" s="33">
        <v>67059887</v>
      </c>
      <c r="F28" s="33">
        <v>643801</v>
      </c>
      <c r="G28" s="3" t="s">
        <v>130</v>
      </c>
      <c r="H28" s="33">
        <v>2716</v>
      </c>
      <c r="I28" s="1"/>
      <c r="J28" s="1"/>
    </row>
    <row r="29" spans="2:10" ht="15" customHeight="1">
      <c r="B29" s="27" t="s">
        <v>132</v>
      </c>
      <c r="C29" s="3" t="s">
        <v>99</v>
      </c>
      <c r="D29" s="3" t="s">
        <v>81</v>
      </c>
      <c r="E29" s="33">
        <v>66834405</v>
      </c>
      <c r="F29" s="33">
        <v>243610</v>
      </c>
      <c r="G29" s="3" t="s">
        <v>133</v>
      </c>
      <c r="H29" s="33">
        <v>2827</v>
      </c>
      <c r="I29" s="1"/>
      <c r="J29" s="1"/>
    </row>
    <row r="30" spans="2:10" ht="15" customHeight="1">
      <c r="B30" s="27" t="s">
        <v>134</v>
      </c>
      <c r="C30" s="3" t="s">
        <v>73</v>
      </c>
      <c r="D30" s="3" t="s">
        <v>135</v>
      </c>
      <c r="E30" s="33">
        <v>69625582</v>
      </c>
      <c r="F30" s="33">
        <v>513120</v>
      </c>
      <c r="G30" s="3" t="s">
        <v>136</v>
      </c>
      <c r="H30" s="34">
        <v>544</v>
      </c>
      <c r="I30" s="1"/>
      <c r="J30" s="1"/>
    </row>
    <row r="31" spans="2:10" ht="15" customHeight="1">
      <c r="B31" s="27" t="s">
        <v>137</v>
      </c>
      <c r="C31" s="3" t="s">
        <v>94</v>
      </c>
      <c r="D31" s="3" t="s">
        <v>138</v>
      </c>
      <c r="E31" s="33">
        <v>58558270</v>
      </c>
      <c r="F31" s="33">
        <v>1219090</v>
      </c>
      <c r="G31" s="3" t="s">
        <v>139</v>
      </c>
      <c r="H31" s="34">
        <v>351</v>
      </c>
      <c r="I31" s="1"/>
      <c r="J31" s="1"/>
    </row>
    <row r="32" spans="2:10" ht="15" customHeight="1">
      <c r="B32" s="27" t="s">
        <v>140</v>
      </c>
      <c r="C32" s="3" t="s">
        <v>94</v>
      </c>
      <c r="D32" s="3" t="s">
        <v>141</v>
      </c>
      <c r="E32" s="33">
        <v>58005463</v>
      </c>
      <c r="F32" s="33">
        <v>947300</v>
      </c>
      <c r="G32" s="3" t="s">
        <v>142</v>
      </c>
      <c r="H32" s="34">
        <v>63</v>
      </c>
      <c r="I32" s="1"/>
      <c r="J32" s="1"/>
    </row>
    <row r="33" spans="2:10" ht="15" customHeight="1">
      <c r="B33" s="27" t="s">
        <v>143</v>
      </c>
      <c r="C33" s="3" t="s">
        <v>99</v>
      </c>
      <c r="D33" s="3" t="s">
        <v>144</v>
      </c>
      <c r="E33" s="33">
        <v>60297396</v>
      </c>
      <c r="F33" s="33">
        <v>301340</v>
      </c>
      <c r="G33" s="3" t="s">
        <v>130</v>
      </c>
      <c r="H33" s="33">
        <v>2001</v>
      </c>
      <c r="I33" s="1"/>
      <c r="J33" s="1"/>
    </row>
    <row r="34" spans="2:10" ht="15" customHeight="1">
      <c r="B34" s="27" t="s">
        <v>145</v>
      </c>
      <c r="C34" s="3" t="s">
        <v>73</v>
      </c>
      <c r="D34" s="3" t="s">
        <v>146</v>
      </c>
      <c r="E34" s="33">
        <v>54045420</v>
      </c>
      <c r="F34" s="33">
        <v>676578</v>
      </c>
      <c r="G34" s="3" t="s">
        <v>147</v>
      </c>
      <c r="H34" s="34">
        <v>76</v>
      </c>
      <c r="I34" s="1"/>
      <c r="J34" s="1"/>
    </row>
    <row r="35" spans="2:10" ht="15" customHeight="1">
      <c r="B35" s="27" t="s">
        <v>148</v>
      </c>
      <c r="C35" s="3" t="s">
        <v>73</v>
      </c>
      <c r="D35" s="3" t="s">
        <v>149</v>
      </c>
      <c r="E35" s="33">
        <v>51709098</v>
      </c>
      <c r="F35" s="33">
        <v>99720</v>
      </c>
      <c r="G35" s="3" t="s">
        <v>150</v>
      </c>
      <c r="H35" s="33">
        <v>2029</v>
      </c>
      <c r="I35" s="1"/>
      <c r="J35" s="1"/>
    </row>
    <row r="36" spans="2:10" ht="15" customHeight="1">
      <c r="B36" s="27" t="s">
        <v>151</v>
      </c>
      <c r="C36" s="3" t="s">
        <v>90</v>
      </c>
      <c r="D36" s="3" t="s">
        <v>103</v>
      </c>
      <c r="E36" s="33">
        <v>50339443</v>
      </c>
      <c r="F36" s="33">
        <v>1138910</v>
      </c>
      <c r="G36" s="3" t="s">
        <v>152</v>
      </c>
      <c r="H36" s="34">
        <v>324</v>
      </c>
      <c r="I36" s="1"/>
      <c r="J36" s="1"/>
    </row>
    <row r="37" spans="2:10" ht="15" customHeight="1">
      <c r="B37" s="27" t="s">
        <v>153</v>
      </c>
      <c r="C37" s="3" t="s">
        <v>94</v>
      </c>
      <c r="D37" s="3" t="s">
        <v>154</v>
      </c>
      <c r="E37" s="33">
        <v>52573973</v>
      </c>
      <c r="F37" s="33">
        <v>580367</v>
      </c>
      <c r="G37" s="3" t="s">
        <v>155</v>
      </c>
      <c r="H37" s="34">
        <v>96</v>
      </c>
      <c r="I37" s="1"/>
      <c r="J37" s="1"/>
    </row>
    <row r="38" spans="2:10" ht="15" customHeight="1">
      <c r="B38" s="27" t="s">
        <v>156</v>
      </c>
      <c r="C38" s="3" t="s">
        <v>99</v>
      </c>
      <c r="D38" s="3" t="s">
        <v>103</v>
      </c>
      <c r="E38" s="33">
        <v>47076781</v>
      </c>
      <c r="F38" s="33">
        <v>505370</v>
      </c>
      <c r="G38" s="3" t="s">
        <v>130</v>
      </c>
      <c r="H38" s="33">
        <v>1394</v>
      </c>
      <c r="I38" s="1"/>
      <c r="J38" s="1"/>
    </row>
    <row r="39" spans="2:10" ht="15" customHeight="1">
      <c r="B39" s="1"/>
      <c r="C39" s="1"/>
      <c r="D39" s="1"/>
      <c r="E39" s="1"/>
      <c r="F39" s="1"/>
      <c r="G39" s="1"/>
      <c r="H39" s="1"/>
      <c r="I39" s="1"/>
      <c r="J39" s="1"/>
    </row>
    <row r="40" spans="2:10" ht="15" customHeight="1">
      <c r="B40" s="1"/>
      <c r="C40" s="1"/>
      <c r="D40" s="1"/>
      <c r="E40" s="1"/>
      <c r="F40" s="1"/>
      <c r="G40" s="1"/>
      <c r="H40" s="1"/>
      <c r="I40" s="1"/>
      <c r="J40" s="1"/>
    </row>
    <row r="41" spans="2:10" ht="15" customHeight="1">
      <c r="B41" s="1"/>
      <c r="C41" s="1"/>
      <c r="D41" s="1"/>
      <c r="E41" s="1"/>
      <c r="F41" s="1"/>
      <c r="G41" s="1"/>
      <c r="H41" s="1"/>
      <c r="I41" s="1"/>
      <c r="J41" s="1"/>
    </row>
    <row r="42" spans="2:10" ht="15" customHeight="1">
      <c r="B42" s="1"/>
      <c r="C42" s="1"/>
      <c r="D42" s="1"/>
      <c r="E42" s="1"/>
      <c r="F42" s="1"/>
      <c r="G42" s="1"/>
      <c r="H42" s="1"/>
      <c r="I42" s="1"/>
      <c r="J42" s="1"/>
    </row>
    <row r="43" spans="2:10" ht="15" customHeight="1">
      <c r="B43" s="1"/>
      <c r="C43" s="1"/>
      <c r="D43" s="1"/>
      <c r="E43" s="1"/>
      <c r="F43" s="1"/>
      <c r="G43" s="1"/>
      <c r="H43" s="1"/>
      <c r="I43" s="1"/>
      <c r="J43" s="1"/>
    </row>
    <row r="44" spans="2:10" ht="15" customHeight="1">
      <c r="B44" s="1"/>
      <c r="C44" s="1"/>
      <c r="D44" s="1"/>
      <c r="E44" s="1"/>
      <c r="F44" s="1"/>
      <c r="G44" s="1"/>
      <c r="H44" s="1"/>
      <c r="I44" s="1"/>
      <c r="J44" s="1"/>
    </row>
    <row r="45" spans="2:10" ht="15" customHeight="1">
      <c r="B45" s="1"/>
      <c r="C45" s="1"/>
      <c r="D45" s="1"/>
      <c r="E45" s="1"/>
      <c r="F45" s="1"/>
      <c r="G45" s="1"/>
      <c r="H45" s="1"/>
      <c r="I45" s="1"/>
      <c r="J45" s="1"/>
    </row>
    <row r="46" spans="2:10" ht="15" customHeight="1">
      <c r="B46" s="1"/>
      <c r="C46" s="1"/>
      <c r="D46" s="1"/>
      <c r="E46" s="1"/>
      <c r="F46" s="1"/>
      <c r="G46" s="1"/>
      <c r="H46" s="1"/>
      <c r="I46" s="1"/>
      <c r="J46" s="1"/>
    </row>
    <row r="47" spans="2:10" ht="15" customHeight="1">
      <c r="B47" s="1"/>
      <c r="C47" s="1"/>
      <c r="D47" s="1"/>
      <c r="E47" s="1"/>
      <c r="F47" s="1"/>
      <c r="G47" s="1"/>
      <c r="H47" s="1"/>
      <c r="I47" s="1"/>
      <c r="J47" s="1"/>
    </row>
    <row r="48" spans="2:10" ht="15" customHeight="1">
      <c r="B48" s="1"/>
      <c r="C48" s="1"/>
      <c r="D48" s="1"/>
      <c r="E48" s="1"/>
      <c r="F48" s="1"/>
      <c r="G48" s="1"/>
      <c r="H48" s="1"/>
      <c r="I48" s="1"/>
      <c r="J48" s="1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sumif practice-1</vt:lpstr>
      <vt:lpstr>sumif practice - 2</vt:lpstr>
      <vt:lpstr>sumifs-1</vt:lpstr>
      <vt:lpstr>sumifs-2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cp:lastModifiedBy>MIHIR VAITY</cp:lastModifiedBy>
  <dcterms:created xsi:type="dcterms:W3CDTF">2025-06-28T06:24:47Z</dcterms:created>
  <dcterms:modified xsi:type="dcterms:W3CDTF">2026-10-09T05:33:02Z</dcterms:modified>
</cp:coreProperties>
</file>